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4E257804-A6C6-4C1A-B702-6E76BE861F79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4" l="1"/>
  <c r="I17" i="4"/>
</calcChain>
</file>

<file path=xl/sharedStrings.xml><?xml version="1.0" encoding="utf-8"?>
<sst xmlns="http://schemas.openxmlformats.org/spreadsheetml/2006/main" count="231" uniqueCount="141">
  <si>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</si>
  <si>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</si>
  <si>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</si>
  <si>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</si>
  <si>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</si>
  <si>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</si>
  <si>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</si>
  <si>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</si>
  <si>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</si>
  <si>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</si>
  <si>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</si>
  <si>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</si>
  <si>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</si>
  <si>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</si>
  <si>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</si>
  <si>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</si>
  <si>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</si>
  <si>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</si>
  <si>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</si>
  <si>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</si>
  <si>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</si>
  <si>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</si>
  <si>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</si>
  <si>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</si>
  <si>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</si>
  <si>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</si>
  <si>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</si>
  <si>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</si>
  <si>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</si>
  <si>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</si>
  <si>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</si>
  <si>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</si>
  <si>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</si>
  <si>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</si>
  <si>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</si>
  <si>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</si>
  <si>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</si>
  <si>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</si>
  <si>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</si>
  <si>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</si>
  <si>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</si>
  <si>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</si>
  <si>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</si>
  <si>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</si>
  <si>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</si>
  <si>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</si>
  <si>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</si>
  <si>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</si>
  <si>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</si>
  <si>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</si>
  <si>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</si>
  <si>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</si>
  <si>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</si>
  <si>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</si>
  <si>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</si>
  <si>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</si>
  <si>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</si>
  <si>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</si>
  <si>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</si>
  <si>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</si>
  <si>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</si>
  <si>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</si>
  <si>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</si>
  <si>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</si>
  <si>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</si>
  <si>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</si>
  <si>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</si>
  <si>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</si>
  <si>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</si>
  <si>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</si>
  <si>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</si>
  <si>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</si>
  <si>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</si>
  <si>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</si>
  <si>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</si>
  <si>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</si>
  <si>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Tapuc Delia</t>
  </si>
  <si>
    <t>Temneanu Maria</t>
  </si>
  <si>
    <t>F02: Sistemul va genera bonul fiscal pe baza comenzii și a listei de produse, aplicând reducerile aferente.</t>
  </si>
  <si>
    <t>F02. Sistemul va genera bonul fiscal pe baza comenzii și a listei de produse, aplicând reducerile aferente</t>
  </si>
  <si>
    <t>18 - 14 + 2 = 6</t>
  </si>
  <si>
    <t>5 + 1 = 6</t>
  </si>
  <si>
    <t>1 - 2 - 14(END)  Date invalide</t>
  </si>
  <si>
    <t>1 - 3 - 4 - 11 - 13 - 14(END) Comandă fără produse (0 iterații)</t>
  </si>
  <si>
    <t>1 - 3 - 4 - 5 - 6 - 4 - 11 - 13 - 14(END) Produsul din comandă nu a fost găsit în listă</t>
  </si>
  <si>
    <t>1 - 3 - 4 - 5 - 6 - 7 - 8 - 10 - 4 - 11 - 13 - 14(END) 1 Produs găsit, cantitate &lt;= 5, total &lt;= 500</t>
  </si>
  <si>
    <t>F02_P04</t>
  </si>
  <si>
    <t>F02_P05</t>
  </si>
  <si>
    <t>F02_P06</t>
  </si>
  <si>
    <t>1 - 3 - 4 - 5 - 6 - 7 - 8 - 9 - 10 - 4 - 11 - 13 - 14(END) 1 Produs găsit, cantitate &gt; 5 (reducere qty aplicată)</t>
  </si>
  <si>
    <t>1 - 3 - 4 - 5 - 6 - 7 - 8 - 10 - 4 - 11 - 12 - 13 - 14(END) 1 Produs găsit, cantitate &lt;= 5, total &gt; 500 (reducere total aplicată)</t>
  </si>
  <si>
    <t>F02_Cond01: o == null || p == null</t>
  </si>
  <si>
    <t>F02_Cond02: p != null</t>
  </si>
  <si>
    <t>F02_Cond03: qty &gt; 5</t>
  </si>
  <si>
    <t>F02_Cond04: total &gt; 500</t>
  </si>
  <si>
    <t>Order=null</t>
  </si>
  <si>
    <t>Err</t>
  </si>
  <si>
    <t>1, 2</t>
  </si>
  <si>
    <t>-</t>
  </si>
  <si>
    <t>P01</t>
  </si>
  <si>
    <t>0 items</t>
  </si>
  <si>
    <t>"TOTAL: 0"</t>
  </si>
  <si>
    <t>1, 3, 4, 11, 13</t>
  </si>
  <si>
    <t>P02</t>
  </si>
  <si>
    <t>F02_TC03</t>
  </si>
  <si>
    <t>F02_TC04</t>
  </si>
  <si>
    <t>F02_TC05</t>
  </si>
  <si>
    <t>F02_TC06</t>
  </si>
  <si>
    <t>1 item (invalid id)</t>
  </si>
  <si>
    <t>1,3,4,5,6,11,13</t>
  </si>
  <si>
    <t>P03</t>
  </si>
  <si>
    <t>P04</t>
  </si>
  <si>
    <t>P05</t>
  </si>
  <si>
    <t>P06</t>
  </si>
  <si>
    <t>1 item (qty=2)</t>
  </si>
  <si>
    <t>"TOTAL: 20"</t>
  </si>
  <si>
    <t>1,3,4,5,6,7,8,10,11,13</t>
  </si>
  <si>
    <t>1 item (qty=6)</t>
  </si>
  <si>
    <t>"TOTAL: 54"</t>
  </si>
  <si>
    <t>1 item (total=600)</t>
  </si>
  <si>
    <t>"TOTAL: 550"</t>
  </si>
  <si>
    <t>1,3,4,5,6,7,8,10,11,12,13</t>
  </si>
  <si>
    <t>Order</t>
  </si>
  <si>
    <t>Products</t>
  </si>
  <si>
    <t>null</t>
  </si>
  <si>
    <t>Comanda cu 0 produse</t>
  </si>
  <si>
    <t>1 produs (id invalid)</t>
  </si>
  <si>
    <t>1 produs (id=1,qty=2)</t>
  </si>
  <si>
    <t>1 produs (id=1, qty=6)</t>
  </si>
  <si>
    <t>1 produs (id=1, qty=2)</t>
  </si>
  <si>
    <t>Lista goala</t>
  </si>
  <si>
    <t>[1 produs valid]</t>
  </si>
  <si>
    <t>[id=1, Apa, 5 RON]</t>
  </si>
  <si>
    <t>[id=1, Suc, 10 RON]</t>
  </si>
  <si>
    <t>[id=1, Vin, 10 RON]</t>
  </si>
  <si>
    <t>[id=1, Sampanie, 300 RON]</t>
  </si>
  <si>
    <t>Eroare: Date invalide!</t>
  </si>
  <si>
    <t>TOTAL: 0.0 RON</t>
  </si>
  <si>
    <t>Suc: 20 RON, TOTAL: 20 RON</t>
  </si>
  <si>
    <t>Vin: 54 RON, TOTAL: 54 RON</t>
  </si>
  <si>
    <t>Sampanie: 600 RON, TOTAL: 550 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</si>
</sst>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17" fillId="0" borderId="0" xfId="0" applyFont="1"/>
    <xf numFmtId="0" fontId="18" fillId="0" borderId="8" xfId="0" applyFont="1" applyBorder="1" applyAlignment="1">
      <alignment vertical="center" wrapText="1"/>
    </xf>
    <xf numFmtId="0" fontId="18" fillId="0" borderId="8" xfId="0" applyFont="1" applyBorder="1" applyAlignment="1">
      <alignment horizontal="left" vertical="center" wrapText="1"/>
    </xf>
    <xf numFmtId="0" fontId="18" fillId="4" borderId="8" xfId="0" applyFont="1" applyFill="1" applyBorder="1" applyAlignment="1">
      <alignment vertical="center" wrapText="1"/>
    </xf>
    <xf numFmtId="0" fontId="14" fillId="13" borderId="8" xfId="0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114300</xdr:rowOff>
    </xdr:from>
    <xdr:to>
      <xdr:col>7</xdr:col>
      <xdr:colOff>422910</xdr:colOff>
      <xdr:row>19</xdr:row>
      <xdr:rowOff>120896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1208662"/>
          <a:ext cx="4381284" cy="2363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621030</xdr:colOff>
      <xdr:row>8</xdr:row>
      <xdr:rowOff>125730</xdr:rowOff>
    </xdr:from>
    <xdr:to>
      <xdr:col>15</xdr:col>
      <xdr:colOff>194310</xdr:colOff>
      <xdr:row>31</xdr:row>
      <xdr:rowOff>101847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8270" y="1588770"/>
          <a:ext cx="4724400" cy="416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571500</xdr:colOff>
      <xdr:row>6</xdr:row>
      <xdr:rowOff>103910</xdr:rowOff>
    </xdr:from>
    <xdr:to>
      <xdr:col>7</xdr:col>
      <xdr:colOff>398318</xdr:colOff>
      <xdr:row>40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B89B46C-9C41-DA23-CFAF-1C376CDEE8B9}"/>
            </a:ext>
          </a:extLst>
        </xdr:cNvPr>
        <xdr:cNvSpPr txBox="1">
          <a:spLocks noChangeArrowheads="1"/>
        </xdr:cNvSpPr>
      </xdr:nvSpPr>
      <xdr:spPr bwMode="auto">
        <a:xfrm>
          <a:off x="571500" y="1170141"/>
          <a:ext cx="4340531" cy="5938068"/>
        </a:xfrm>
        <a:prstGeom prst="rect">
          <a:avLst/>
        </a:prstGeom>
        <a:solidFill>
          <a:schemeClr val="accent5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9436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public static String generate(Order o, List&lt;Product&gt; products) {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1      if (o == null || products == null) {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2          return "Eroare: Date invalide!";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}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3      StringBuilder sb = new StringBuilder();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sb.append("===== BON FISCAL =====\n");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double totalCalculator = 0.0;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4      for (OrderItem i : o.getItems()) {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5          Product p = findProductById(products, i.getProduct().getId());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6          if (p != null) {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7              double lineTotal = p.getPret() * i.getQuantity();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8              if (i.getQuantity() &gt; 5) {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9                  lineTotal = lineTotal * 0.9;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        }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10             sb.append(p.getNume()).append(": ").append(lineTotal).append(" RON\n");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        totalCalculator += lineTotal;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    }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}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11     if (totalCalculator &gt; 500) {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12         totalCalculator -= 50;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}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13     sb.append("---------------------\nTOTAL: ").append(totalCalculator).append(" RON\n");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   return sb.toString();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D29" sqref="D29"/>
    </sheetView>
  </sheetViews>
  <sheetFormatPr defaultColWidth="8.86328125" defaultRowHeight="14.25"/>
  <cols>
    <col min="15" max="15" width="19.59765625" customWidth="1"/>
  </cols>
  <sheetData>
    <row r="1" spans="2:16">
      <c r="B1" s="12"/>
      <c r="D1" s="63" t="s">
        <v>0</v>
      </c>
      <c r="E1" s="64"/>
      <c r="F1" s="64"/>
      <c r="G1" s="65"/>
    </row>
    <row r="2" spans="2:16">
      <c r="B2" s="38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34" t="s">
        <v>5</v>
      </c>
      <c r="O5" s="34"/>
      <c r="P5" s="34"/>
    </row>
    <row r="6" spans="2:16">
      <c r="B6" s="1" t="s">
        <v>6</v>
      </c>
      <c r="N6" s="26"/>
      <c r="O6" s="26" t="s">
        <v>7</v>
      </c>
      <c r="P6" s="26" t="s">
        <v>8</v>
      </c>
    </row>
    <row r="7" spans="2:16">
      <c r="B7" s="1"/>
      <c r="C7" s="1"/>
      <c r="D7" s="1"/>
      <c r="E7" s="1"/>
      <c r="N7" s="26" t="s">
        <v>9</v>
      </c>
      <c r="O7" s="26" t="s">
        <v>76</v>
      </c>
      <c r="P7" s="26">
        <v>237</v>
      </c>
    </row>
    <row r="8" spans="2:16">
      <c r="B8" s="1"/>
      <c r="C8" s="1"/>
      <c r="D8" s="1"/>
      <c r="E8" s="1"/>
      <c r="N8" s="26" t="s">
        <v>10</v>
      </c>
      <c r="O8" s="26" t="s">
        <v>77</v>
      </c>
      <c r="P8" s="26">
        <v>237</v>
      </c>
    </row>
    <row r="9" spans="2:16">
      <c r="C9" s="1"/>
      <c r="D9" s="1"/>
      <c r="E9" s="1"/>
      <c r="N9" s="26"/>
      <c r="O9" s="26"/>
      <c r="P9" s="26"/>
    </row>
    <row r="10" spans="2:16">
      <c r="C10" s="1"/>
      <c r="D10" s="1"/>
      <c r="E10" s="1"/>
    </row>
    <row r="11" spans="2:16">
      <c r="B11" s="36" t="s">
        <v>78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zoomScale="67" zoomScaleNormal="90" workbookViewId="0">
      <selection activeCell="B3" sqref="B3:K3"/>
    </sheetView>
  </sheetViews>
  <sheetFormatPr defaultColWidth="8.86328125" defaultRowHeight="14.25"/>
  <cols>
    <col min="2" max="2" width="10" customWidth="1"/>
    <col min="17" max="17" width="10.59765625" customWidth="1"/>
    <col min="20" max="20" width="38.265625" customWidth="1"/>
  </cols>
  <sheetData>
    <row r="1" spans="2:20">
      <c r="B1" s="12"/>
      <c r="D1" s="63" t="s">
        <v>0</v>
      </c>
      <c r="E1" s="64"/>
      <c r="F1" s="64"/>
      <c r="G1" s="64"/>
      <c r="H1" s="64"/>
      <c r="I1" s="65"/>
    </row>
    <row r="3" spans="2:20">
      <c r="B3" s="103" t="s">
        <v>79</v>
      </c>
      <c r="C3" s="82"/>
      <c r="D3" s="82"/>
      <c r="E3" s="82"/>
      <c r="F3" s="82"/>
      <c r="G3" s="82"/>
      <c r="H3" s="82"/>
      <c r="I3" s="82"/>
      <c r="J3" s="82"/>
      <c r="K3" s="83"/>
    </row>
    <row r="6" spans="2:20">
      <c r="B6" s="63" t="s">
        <v>11</v>
      </c>
      <c r="C6" s="64"/>
      <c r="D6" s="64"/>
      <c r="E6" s="65"/>
      <c r="F6" s="30"/>
      <c r="G6" s="30"/>
      <c r="I6" s="63" t="s">
        <v>12</v>
      </c>
      <c r="J6" s="64"/>
      <c r="K6" s="64"/>
      <c r="L6" s="64"/>
      <c r="M6" s="64"/>
      <c r="N6" s="64"/>
      <c r="O6" s="64"/>
      <c r="Q6" s="63" t="s">
        <v>13</v>
      </c>
      <c r="R6" s="64"/>
      <c r="S6" s="64"/>
      <c r="T6" s="64"/>
    </row>
    <row r="8" spans="2:20">
      <c r="B8" s="31" t="s">
        <v>14</v>
      </c>
      <c r="C8" s="93" t="s">
        <v>15</v>
      </c>
      <c r="D8" s="93"/>
      <c r="E8" s="93"/>
      <c r="F8" s="32"/>
      <c r="G8" s="32"/>
      <c r="I8" s="12" t="s">
        <v>16</v>
      </c>
      <c r="Q8" s="81" t="s">
        <v>17</v>
      </c>
      <c r="R8" s="81"/>
      <c r="S8" s="81"/>
      <c r="T8" s="33">
        <v>6</v>
      </c>
    </row>
    <row r="9" spans="2:20">
      <c r="B9" s="34" t="s">
        <v>19</v>
      </c>
      <c r="C9" s="80" t="s">
        <v>18</v>
      </c>
      <c r="D9" s="80"/>
      <c r="E9" s="80"/>
      <c r="F9" s="35"/>
      <c r="G9" s="35"/>
      <c r="I9" s="37"/>
      <c r="Q9" s="81" t="s">
        <v>20</v>
      </c>
      <c r="R9" s="81"/>
      <c r="S9" s="81"/>
      <c r="T9" s="33" t="s">
        <v>80</v>
      </c>
    </row>
    <row r="10" spans="2:20">
      <c r="B10" s="34" t="s">
        <v>21</v>
      </c>
      <c r="C10" s="80" t="s">
        <v>18</v>
      </c>
      <c r="D10" s="80"/>
      <c r="E10" s="80"/>
      <c r="F10" s="35"/>
      <c r="G10" s="35"/>
      <c r="I10" s="84" t="s">
        <v>22</v>
      </c>
      <c r="J10" s="85"/>
      <c r="K10" s="85"/>
      <c r="L10" s="85"/>
      <c r="M10" s="85"/>
      <c r="N10" s="85"/>
      <c r="O10" s="86"/>
      <c r="Q10" s="81" t="s">
        <v>23</v>
      </c>
      <c r="R10" s="81" t="s">
        <v>24</v>
      </c>
      <c r="S10" s="81"/>
      <c r="T10" s="33" t="s">
        <v>81</v>
      </c>
    </row>
    <row r="11" spans="2:20">
      <c r="B11" s="34" t="s">
        <v>25</v>
      </c>
      <c r="C11" s="80" t="s">
        <v>18</v>
      </c>
      <c r="D11" s="80"/>
      <c r="E11" s="80"/>
      <c r="F11" s="35"/>
      <c r="G11" s="35"/>
      <c r="I11" s="87"/>
      <c r="J11" s="88"/>
      <c r="K11" s="88"/>
      <c r="L11" s="88"/>
      <c r="M11" s="88"/>
      <c r="N11" s="88"/>
      <c r="O11" s="89"/>
    </row>
    <row r="12" spans="2:20">
      <c r="B12" s="34" t="s">
        <v>26</v>
      </c>
      <c r="C12" s="80" t="s">
        <v>18</v>
      </c>
      <c r="D12" s="80"/>
      <c r="E12" s="80"/>
      <c r="F12" s="35"/>
      <c r="G12" s="35"/>
      <c r="I12" s="87"/>
      <c r="J12" s="88"/>
      <c r="K12" s="88"/>
      <c r="L12" s="88"/>
      <c r="M12" s="88"/>
      <c r="N12" s="88"/>
      <c r="O12" s="89"/>
    </row>
    <row r="13" spans="2:20">
      <c r="B13" s="34" t="s">
        <v>27</v>
      </c>
      <c r="C13" s="80" t="s">
        <v>18</v>
      </c>
      <c r="D13" s="80"/>
      <c r="E13" s="80"/>
      <c r="F13" s="35"/>
      <c r="G13" s="35"/>
      <c r="I13" s="87"/>
      <c r="J13" s="88"/>
      <c r="K13" s="88"/>
      <c r="L13" s="88"/>
      <c r="M13" s="88"/>
      <c r="N13" s="88"/>
      <c r="O13" s="89"/>
      <c r="Q13" s="63" t="s">
        <v>28</v>
      </c>
      <c r="R13" s="64"/>
      <c r="S13" s="64"/>
      <c r="T13" s="64"/>
    </row>
    <row r="14" spans="2:20">
      <c r="B14" s="34" t="s">
        <v>26</v>
      </c>
      <c r="C14" s="80" t="s">
        <v>18</v>
      </c>
      <c r="D14" s="80"/>
      <c r="E14" s="80"/>
      <c r="F14" s="35"/>
      <c r="G14" s="35"/>
      <c r="I14" s="87"/>
      <c r="J14" s="88"/>
      <c r="K14" s="88"/>
      <c r="L14" s="88"/>
      <c r="M14" s="88"/>
      <c r="N14" s="88"/>
      <c r="O14" s="89"/>
    </row>
    <row r="15" spans="2:20">
      <c r="I15" s="87"/>
      <c r="J15" s="88"/>
      <c r="K15" s="88"/>
      <c r="L15" s="88"/>
      <c r="M15" s="88"/>
      <c r="N15" s="88"/>
      <c r="O15" s="89"/>
      <c r="Q15" s="31" t="s">
        <v>29</v>
      </c>
      <c r="R15" s="93" t="s">
        <v>30</v>
      </c>
      <c r="S15" s="93"/>
      <c r="T15" s="93"/>
    </row>
    <row r="16" spans="2:20">
      <c r="I16" s="87"/>
      <c r="J16" s="88"/>
      <c r="K16" s="88"/>
      <c r="L16" s="88"/>
      <c r="M16" s="88"/>
      <c r="N16" s="88"/>
      <c r="O16" s="89"/>
      <c r="Q16" s="34" t="s">
        <v>31</v>
      </c>
      <c r="R16" s="79" t="s">
        <v>82</v>
      </c>
      <c r="S16" s="79"/>
      <c r="T16" s="79"/>
    </row>
    <row r="17" spans="9:20">
      <c r="I17" s="87"/>
      <c r="J17" s="88"/>
      <c r="K17" s="88"/>
      <c r="L17" s="88"/>
      <c r="M17" s="88"/>
      <c r="N17" s="88"/>
      <c r="O17" s="89"/>
      <c r="Q17" s="34" t="s">
        <v>32</v>
      </c>
      <c r="R17" s="79" t="s">
        <v>83</v>
      </c>
      <c r="S17" s="79"/>
      <c r="T17" s="79"/>
    </row>
    <row r="18" spans="9:20" ht="12.75" customHeight="1">
      <c r="I18" s="87"/>
      <c r="J18" s="88"/>
      <c r="K18" s="88"/>
      <c r="L18" s="88"/>
      <c r="M18" s="88"/>
      <c r="N18" s="88"/>
      <c r="O18" s="89"/>
      <c r="Q18" s="34" t="s">
        <v>33</v>
      </c>
      <c r="R18" s="104" t="s">
        <v>84</v>
      </c>
      <c r="S18" s="105"/>
      <c r="T18" s="106"/>
    </row>
    <row r="19" spans="9:20">
      <c r="I19" s="87"/>
      <c r="J19" s="88"/>
      <c r="K19" s="88"/>
      <c r="L19" s="88"/>
      <c r="M19" s="88"/>
      <c r="N19" s="88"/>
      <c r="O19" s="89"/>
      <c r="Q19" s="34" t="s">
        <v>86</v>
      </c>
      <c r="R19" s="79" t="s">
        <v>85</v>
      </c>
      <c r="S19" s="79"/>
      <c r="T19" s="79"/>
    </row>
    <row r="20" spans="9:20">
      <c r="I20" s="87"/>
      <c r="J20" s="88"/>
      <c r="K20" s="88"/>
      <c r="L20" s="88"/>
      <c r="M20" s="88"/>
      <c r="N20" s="88"/>
      <c r="O20" s="89"/>
      <c r="Q20" s="34" t="s">
        <v>87</v>
      </c>
      <c r="R20" s="79" t="s">
        <v>89</v>
      </c>
      <c r="S20" s="79"/>
      <c r="T20" s="79"/>
    </row>
    <row r="21" spans="9:20">
      <c r="I21" s="87"/>
      <c r="J21" s="88"/>
      <c r="K21" s="88"/>
      <c r="L21" s="88"/>
      <c r="M21" s="88"/>
      <c r="N21" s="88"/>
      <c r="O21" s="89"/>
      <c r="Q21" s="34" t="s">
        <v>88</v>
      </c>
      <c r="R21" s="79" t="s">
        <v>90</v>
      </c>
      <c r="S21" s="79"/>
      <c r="T21" s="79"/>
    </row>
    <row r="22" spans="9:20">
      <c r="I22" s="87"/>
      <c r="J22" s="88"/>
      <c r="K22" s="88"/>
      <c r="L22" s="88"/>
      <c r="M22" s="88"/>
      <c r="N22" s="88"/>
      <c r="O22" s="89"/>
    </row>
    <row r="23" spans="9:20">
      <c r="I23" s="87"/>
      <c r="J23" s="88"/>
      <c r="K23" s="88"/>
      <c r="L23" s="88"/>
      <c r="M23" s="88"/>
      <c r="N23" s="88"/>
      <c r="O23" s="89"/>
    </row>
    <row r="24" spans="9:20">
      <c r="I24" s="90"/>
      <c r="J24" s="91"/>
      <c r="K24" s="91"/>
      <c r="L24" s="91"/>
      <c r="M24" s="91"/>
      <c r="N24" s="91"/>
      <c r="O24" s="92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Z16"/>
  <sheetViews>
    <sheetView zoomScale="63" workbookViewId="0">
      <selection activeCell="G37" sqref="G37"/>
    </sheetView>
  </sheetViews>
  <sheetFormatPr defaultColWidth="8.86328125" defaultRowHeight="14.25"/>
  <cols>
    <col min="2" max="2" width="12.265625" customWidth="1"/>
    <col min="3" max="4" width="18.1328125" bestFit="1" customWidth="1"/>
    <col min="5" max="5" width="23.265625" customWidth="1"/>
    <col min="6" max="6" width="8.1328125" customWidth="1"/>
    <col min="7" max="7" width="27.46484375" customWidth="1"/>
    <col min="8" max="8" width="11.1328125" customWidth="1"/>
    <col min="9" max="9" width="9.265625" customWidth="1"/>
    <col min="10" max="10" width="14.59765625" customWidth="1"/>
    <col min="11" max="11" width="6.1328125" customWidth="1"/>
    <col min="13" max="13" width="23.59765625" customWidth="1"/>
    <col min="14" max="15" width="8.86328125" customWidth="1"/>
    <col min="19" max="19" width="9.1328125" customWidth="1"/>
    <col min="20" max="22" width="2.1328125" bestFit="1" customWidth="1"/>
    <col min="23" max="23" width="3.59765625" bestFit="1" customWidth="1"/>
    <col min="24" max="24" width="2.1328125" bestFit="1" customWidth="1"/>
    <col min="25" max="25" width="4.1328125" bestFit="1" customWidth="1"/>
    <col min="26" max="26" width="5.1328125" bestFit="1" customWidth="1"/>
  </cols>
  <sheetData>
    <row r="1" spans="2:26">
      <c r="B1" s="12"/>
      <c r="D1" s="63" t="s">
        <v>0</v>
      </c>
      <c r="E1" s="64"/>
      <c r="F1" s="64"/>
      <c r="G1" s="65"/>
    </row>
    <row r="3" spans="2:26">
      <c r="B3" s="103" t="s">
        <v>79</v>
      </c>
      <c r="C3" s="82"/>
      <c r="D3" s="82"/>
      <c r="E3" s="82"/>
      <c r="F3" s="83"/>
    </row>
    <row r="5" spans="2:26">
      <c r="B5" s="11"/>
    </row>
    <row r="6" spans="2:26" ht="15.75">
      <c r="B6" s="100" t="s">
        <v>34</v>
      </c>
      <c r="C6" s="100" t="s">
        <v>35</v>
      </c>
      <c r="D6" s="101" t="s">
        <v>36</v>
      </c>
      <c r="E6" s="100" t="s">
        <v>37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spans="2:26" ht="15.75">
      <c r="B7" s="100"/>
      <c r="C7" s="100"/>
      <c r="D7" s="102"/>
      <c r="E7" s="97" t="s">
        <v>38</v>
      </c>
      <c r="F7" s="96" t="s">
        <v>39</v>
      </c>
      <c r="G7" s="96"/>
      <c r="H7" s="96"/>
      <c r="I7" s="96"/>
      <c r="J7" s="96"/>
      <c r="K7" s="96"/>
      <c r="L7" s="96"/>
      <c r="M7" s="96"/>
      <c r="N7" s="98" t="s">
        <v>40</v>
      </c>
      <c r="O7" s="98"/>
      <c r="P7" s="98"/>
      <c r="Q7" s="98"/>
      <c r="R7" s="98"/>
      <c r="S7" s="98"/>
      <c r="T7" s="99" t="s">
        <v>41</v>
      </c>
      <c r="U7" s="99"/>
      <c r="V7" s="99"/>
      <c r="W7" s="99"/>
      <c r="X7" s="99"/>
      <c r="Y7" s="99"/>
      <c r="Z7" s="99"/>
    </row>
    <row r="8" spans="2:26" ht="15.6" customHeight="1">
      <c r="B8" s="100"/>
      <c r="C8" s="94" t="s">
        <v>18</v>
      </c>
      <c r="D8" s="94" t="s">
        <v>18</v>
      </c>
      <c r="E8" s="97"/>
      <c r="F8" s="96" t="s">
        <v>91</v>
      </c>
      <c r="G8" s="96"/>
      <c r="H8" s="96" t="s">
        <v>92</v>
      </c>
      <c r="I8" s="96"/>
      <c r="J8" s="96" t="s">
        <v>93</v>
      </c>
      <c r="K8" s="96"/>
      <c r="L8" s="96" t="s">
        <v>94</v>
      </c>
      <c r="M8" s="96"/>
      <c r="N8" s="98" t="s">
        <v>31</v>
      </c>
      <c r="O8" s="98" t="s">
        <v>32</v>
      </c>
      <c r="P8" s="98" t="s">
        <v>33</v>
      </c>
      <c r="Q8" s="98" t="s">
        <v>86</v>
      </c>
      <c r="R8" s="98" t="s">
        <v>87</v>
      </c>
      <c r="S8" s="98" t="s">
        <v>88</v>
      </c>
      <c r="T8" s="99">
        <v>0</v>
      </c>
      <c r="U8" s="99">
        <v>1</v>
      </c>
      <c r="V8" s="99">
        <v>2</v>
      </c>
      <c r="W8" s="99" t="s">
        <v>42</v>
      </c>
      <c r="X8" s="99" t="s">
        <v>43</v>
      </c>
      <c r="Y8" s="99" t="s">
        <v>44</v>
      </c>
      <c r="Z8" s="99" t="s">
        <v>45</v>
      </c>
    </row>
    <row r="9" spans="2:26" ht="15.75">
      <c r="B9" s="100"/>
      <c r="C9" s="95"/>
      <c r="D9" s="95"/>
      <c r="E9" s="97"/>
      <c r="F9" s="13" t="s">
        <v>46</v>
      </c>
      <c r="G9" s="13" t="s">
        <v>47</v>
      </c>
      <c r="H9" s="13" t="s">
        <v>46</v>
      </c>
      <c r="I9" s="13" t="s">
        <v>47</v>
      </c>
      <c r="J9" s="13" t="s">
        <v>46</v>
      </c>
      <c r="K9" s="13" t="s">
        <v>47</v>
      </c>
      <c r="L9" s="13" t="s">
        <v>46</v>
      </c>
      <c r="M9" s="13" t="s">
        <v>47</v>
      </c>
      <c r="N9" s="98"/>
      <c r="O9" s="98"/>
      <c r="P9" s="98"/>
      <c r="Q9" s="98"/>
      <c r="R9" s="98"/>
      <c r="S9" s="98"/>
      <c r="T9" s="99"/>
      <c r="U9" s="99"/>
      <c r="V9" s="99"/>
      <c r="W9" s="99"/>
      <c r="X9" s="99"/>
      <c r="Y9" s="99"/>
      <c r="Z9" s="99"/>
    </row>
    <row r="10" spans="2:26" ht="15.75">
      <c r="B10" s="14" t="s">
        <v>48</v>
      </c>
      <c r="C10" s="14" t="s">
        <v>95</v>
      </c>
      <c r="D10" s="15" t="s">
        <v>96</v>
      </c>
      <c r="E10" s="16" t="s">
        <v>97</v>
      </c>
      <c r="F10" s="17" t="s">
        <v>46</v>
      </c>
      <c r="G10" s="17" t="s">
        <v>98</v>
      </c>
      <c r="H10" s="17" t="s">
        <v>98</v>
      </c>
      <c r="I10" s="17" t="s">
        <v>98</v>
      </c>
      <c r="J10" s="17" t="s">
        <v>98</v>
      </c>
      <c r="K10" s="17" t="s">
        <v>98</v>
      </c>
      <c r="L10" s="17" t="s">
        <v>98</v>
      </c>
      <c r="M10" s="17" t="s">
        <v>98</v>
      </c>
      <c r="N10" s="18" t="s">
        <v>99</v>
      </c>
      <c r="O10" s="18"/>
      <c r="P10" s="18"/>
      <c r="Q10" s="18"/>
      <c r="R10" s="18"/>
      <c r="S10" s="18"/>
      <c r="T10" s="19">
        <v>0</v>
      </c>
      <c r="U10" s="19"/>
      <c r="V10" s="19"/>
      <c r="W10" s="19"/>
      <c r="X10" s="19"/>
      <c r="Y10" s="19"/>
      <c r="Z10" s="19"/>
    </row>
    <row r="11" spans="2:26" ht="15.75">
      <c r="B11" s="14" t="s">
        <v>58</v>
      </c>
      <c r="C11" s="14" t="s">
        <v>100</v>
      </c>
      <c r="D11" s="15" t="s">
        <v>101</v>
      </c>
      <c r="E11" s="16" t="s">
        <v>102</v>
      </c>
      <c r="F11" s="17" t="s">
        <v>98</v>
      </c>
      <c r="G11" s="17" t="s">
        <v>47</v>
      </c>
      <c r="H11" s="17" t="s">
        <v>98</v>
      </c>
      <c r="I11" s="17" t="s">
        <v>98</v>
      </c>
      <c r="J11" s="17" t="s">
        <v>98</v>
      </c>
      <c r="K11" s="17" t="s">
        <v>98</v>
      </c>
      <c r="L11" s="17" t="s">
        <v>98</v>
      </c>
      <c r="M11" s="17" t="s">
        <v>47</v>
      </c>
      <c r="N11" s="18"/>
      <c r="O11" s="18" t="s">
        <v>103</v>
      </c>
      <c r="P11" s="18"/>
      <c r="Q11" s="18"/>
      <c r="R11" s="18"/>
      <c r="S11" s="18"/>
      <c r="T11" s="19">
        <v>0</v>
      </c>
      <c r="U11" s="19"/>
      <c r="V11" s="19"/>
      <c r="W11" s="19"/>
      <c r="X11" s="19"/>
      <c r="Y11" s="19"/>
      <c r="Z11" s="19"/>
    </row>
    <row r="12" spans="2:26" ht="15.75">
      <c r="B12" s="14" t="s">
        <v>104</v>
      </c>
      <c r="C12" s="108" t="s">
        <v>108</v>
      </c>
      <c r="D12" s="109" t="s">
        <v>101</v>
      </c>
      <c r="E12" s="110" t="s">
        <v>109</v>
      </c>
      <c r="F12" s="17" t="s">
        <v>98</v>
      </c>
      <c r="G12" s="17" t="s">
        <v>47</v>
      </c>
      <c r="H12" s="17" t="s">
        <v>98</v>
      </c>
      <c r="I12" s="17" t="s">
        <v>47</v>
      </c>
      <c r="J12" s="17" t="s">
        <v>98</v>
      </c>
      <c r="K12" s="17" t="s">
        <v>98</v>
      </c>
      <c r="L12" s="17" t="s">
        <v>98</v>
      </c>
      <c r="M12" s="17" t="s">
        <v>47</v>
      </c>
      <c r="N12" s="18"/>
      <c r="O12" s="18"/>
      <c r="P12" s="18" t="s">
        <v>110</v>
      </c>
      <c r="Q12" s="18"/>
      <c r="R12" s="18"/>
      <c r="S12" s="18"/>
      <c r="T12" s="19"/>
      <c r="U12" s="19">
        <v>1</v>
      </c>
      <c r="V12" s="19"/>
      <c r="W12" s="19"/>
      <c r="X12" s="19"/>
      <c r="Y12" s="19"/>
      <c r="Z12" s="19"/>
    </row>
    <row r="13" spans="2:26" ht="15.75">
      <c r="B13" s="14" t="s">
        <v>105</v>
      </c>
      <c r="C13" s="14" t="s">
        <v>114</v>
      </c>
      <c r="D13" s="107" t="s">
        <v>115</v>
      </c>
      <c r="E13" s="16" t="s">
        <v>116</v>
      </c>
      <c r="F13" s="17" t="s">
        <v>98</v>
      </c>
      <c r="G13" s="17" t="s">
        <v>47</v>
      </c>
      <c r="H13" s="17" t="s">
        <v>46</v>
      </c>
      <c r="I13" s="17" t="s">
        <v>98</v>
      </c>
      <c r="J13" s="17" t="s">
        <v>98</v>
      </c>
      <c r="K13" s="17" t="s">
        <v>47</v>
      </c>
      <c r="L13" s="17" t="s">
        <v>98</v>
      </c>
      <c r="M13" s="17" t="s">
        <v>47</v>
      </c>
      <c r="N13" s="18"/>
      <c r="O13" s="18"/>
      <c r="P13" s="18"/>
      <c r="Q13" s="18" t="s">
        <v>111</v>
      </c>
      <c r="R13" s="18"/>
      <c r="S13" s="18"/>
      <c r="T13" s="19"/>
      <c r="U13" s="19">
        <v>1</v>
      </c>
      <c r="V13" s="19"/>
      <c r="W13" s="19"/>
      <c r="X13" s="19"/>
      <c r="Y13" s="19"/>
      <c r="Z13" s="19"/>
    </row>
    <row r="14" spans="2:26" ht="15.75">
      <c r="B14" s="14" t="s">
        <v>106</v>
      </c>
      <c r="C14" s="14" t="s">
        <v>117</v>
      </c>
      <c r="D14" t="s">
        <v>118</v>
      </c>
      <c r="E14" s="16" t="s">
        <v>116</v>
      </c>
      <c r="F14" s="17" t="s">
        <v>98</v>
      </c>
      <c r="G14" s="17" t="s">
        <v>47</v>
      </c>
      <c r="H14" s="17" t="s">
        <v>46</v>
      </c>
      <c r="I14" s="17" t="s">
        <v>98</v>
      </c>
      <c r="J14" s="17" t="s">
        <v>46</v>
      </c>
      <c r="K14" s="17" t="s">
        <v>98</v>
      </c>
      <c r="L14" s="17" t="s">
        <v>98</v>
      </c>
      <c r="M14" s="17" t="s">
        <v>47</v>
      </c>
      <c r="N14" s="18"/>
      <c r="O14" s="18"/>
      <c r="P14" s="18"/>
      <c r="Q14" s="18"/>
      <c r="R14" s="18" t="s">
        <v>112</v>
      </c>
      <c r="S14" s="18"/>
      <c r="T14" s="19"/>
      <c r="U14" s="19">
        <v>1</v>
      </c>
      <c r="V14" s="19"/>
      <c r="W14" s="19"/>
      <c r="X14" s="19"/>
      <c r="Y14" s="19"/>
      <c r="Z14" s="19"/>
    </row>
    <row r="15" spans="2:26" ht="15.75">
      <c r="B15" s="14" t="s">
        <v>107</v>
      </c>
      <c r="C15" t="s">
        <v>119</v>
      </c>
      <c r="D15" s="111" t="s">
        <v>120</v>
      </c>
      <c r="E15" s="16" t="s">
        <v>121</v>
      </c>
      <c r="F15" s="17" t="s">
        <v>98</v>
      </c>
      <c r="G15" s="17" t="s">
        <v>47</v>
      </c>
      <c r="H15" s="17" t="s">
        <v>46</v>
      </c>
      <c r="I15" s="17" t="s">
        <v>98</v>
      </c>
      <c r="J15" s="17" t="s">
        <v>98</v>
      </c>
      <c r="K15" s="17" t="s">
        <v>47</v>
      </c>
      <c r="L15" s="17" t="s">
        <v>46</v>
      </c>
      <c r="M15" s="17" t="s">
        <v>98</v>
      </c>
      <c r="N15" s="18"/>
      <c r="O15" s="18"/>
      <c r="P15" s="18"/>
      <c r="Q15" s="18"/>
      <c r="R15" s="18"/>
      <c r="S15" s="18" t="s">
        <v>113</v>
      </c>
      <c r="T15" s="19"/>
      <c r="U15" s="19">
        <v>1</v>
      </c>
      <c r="V15" s="19"/>
      <c r="W15" s="19"/>
      <c r="X15" s="19"/>
      <c r="Y15" s="19"/>
      <c r="Z15" s="19"/>
    </row>
    <row r="16" spans="2:26" ht="15.75">
      <c r="B16" s="20"/>
    </row>
  </sheetData>
  <mergeCells count="29">
    <mergeCell ref="D1:G1"/>
    <mergeCell ref="B3:F3"/>
    <mergeCell ref="B6:B9"/>
    <mergeCell ref="C6:C7"/>
    <mergeCell ref="D6:D7"/>
    <mergeCell ref="E6:Z6"/>
    <mergeCell ref="X8:X9"/>
    <mergeCell ref="Y8:Y9"/>
    <mergeCell ref="S8:S9"/>
    <mergeCell ref="D8:D9"/>
    <mergeCell ref="F8:G8"/>
    <mergeCell ref="U8:U9"/>
    <mergeCell ref="V8:V9"/>
    <mergeCell ref="W8:W9"/>
    <mergeCell ref="R8:R9"/>
    <mergeCell ref="T7:Z7"/>
    <mergeCell ref="Z8:Z9"/>
    <mergeCell ref="H8:I8"/>
    <mergeCell ref="J8:K8"/>
    <mergeCell ref="T8:T9"/>
    <mergeCell ref="N8:N9"/>
    <mergeCell ref="O8:O9"/>
    <mergeCell ref="P8:P9"/>
    <mergeCell ref="Q8:Q9"/>
    <mergeCell ref="C8:C9"/>
    <mergeCell ref="L8:M8"/>
    <mergeCell ref="E7:E9"/>
    <mergeCell ref="F7:M7"/>
    <mergeCell ref="N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7"/>
  <sheetViews>
    <sheetView tabSelected="1" zoomScale="65" workbookViewId="0">
      <selection activeCell="H24" sqref="H24"/>
    </sheetView>
  </sheetViews>
  <sheetFormatPr defaultColWidth="8.86328125" defaultRowHeight="14.25"/>
  <cols>
    <col min="3" max="3" width="7.1328125" bestFit="1" customWidth="1"/>
    <col min="4" max="4" width="11.265625" bestFit="1" customWidth="1"/>
    <col min="5" max="5" width="18.86328125" customWidth="1"/>
    <col min="6" max="6" width="16.1328125" bestFit="1" customWidth="1"/>
    <col min="7" max="7" width="10.86328125" bestFit="1" customWidth="1"/>
    <col min="8" max="8" width="10" bestFit="1" customWidth="1"/>
    <col min="9" max="9" width="1.86328125" customWidth="1"/>
    <col min="10" max="10" width="7.1328125" hidden="1" customWidth="1"/>
    <col min="11" max="11" width="31.9296875" customWidth="1"/>
    <col min="12" max="12" width="35.86328125" customWidth="1"/>
    <col min="13" max="13" width="16.1328125" bestFit="1" customWidth="1"/>
    <col min="15" max="15" width="12.265625" customWidth="1"/>
  </cols>
  <sheetData>
    <row r="1" spans="2:14">
      <c r="B1" s="12"/>
      <c r="D1" s="63" t="s">
        <v>0</v>
      </c>
      <c r="E1" s="64"/>
      <c r="F1" s="64"/>
      <c r="G1" s="65"/>
    </row>
    <row r="3" spans="2:14">
      <c r="B3" s="66" t="s">
        <v>49</v>
      </c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2:14">
      <c r="B4" s="67" t="s">
        <v>50</v>
      </c>
      <c r="C4" s="50" t="s">
        <v>51</v>
      </c>
      <c r="D4" s="77" t="s">
        <v>52</v>
      </c>
      <c r="E4" s="69" t="s">
        <v>53</v>
      </c>
      <c r="F4" s="75"/>
      <c r="G4" s="75"/>
      <c r="H4" s="75"/>
      <c r="I4" s="75"/>
      <c r="J4" s="70"/>
      <c r="K4" s="69" t="s">
        <v>54</v>
      </c>
      <c r="L4" s="70"/>
    </row>
    <row r="5" spans="2:14" ht="14.65" thickBot="1">
      <c r="B5" s="68"/>
      <c r="C5" s="76"/>
      <c r="D5" s="78"/>
      <c r="E5" s="2" t="s">
        <v>122</v>
      </c>
      <c r="F5" s="71" t="s">
        <v>123</v>
      </c>
      <c r="G5" s="113"/>
      <c r="H5" s="113"/>
      <c r="I5" s="113"/>
      <c r="J5" s="72"/>
      <c r="K5" s="2" t="s">
        <v>55</v>
      </c>
      <c r="L5" s="2" t="s">
        <v>56</v>
      </c>
    </row>
    <row r="6" spans="2:14" ht="14.65" thickTop="1">
      <c r="B6" s="21">
        <v>9</v>
      </c>
      <c r="C6" s="73" t="s">
        <v>57</v>
      </c>
      <c r="D6" s="4" t="s">
        <v>48</v>
      </c>
      <c r="E6" s="115" t="s">
        <v>124</v>
      </c>
      <c r="F6" s="119" t="s">
        <v>130</v>
      </c>
      <c r="G6" s="120"/>
      <c r="H6" s="120"/>
      <c r="I6" s="120"/>
      <c r="J6" s="121"/>
      <c r="K6" s="115" t="s">
        <v>136</v>
      </c>
      <c r="L6" s="116" t="s">
        <v>136</v>
      </c>
      <c r="M6" s="117"/>
    </row>
    <row r="7" spans="2:14" ht="14.65" thickBot="1">
      <c r="B7" s="21">
        <v>10</v>
      </c>
      <c r="C7" s="73"/>
      <c r="D7" s="4" t="s">
        <v>58</v>
      </c>
      <c r="E7" s="116" t="s">
        <v>125</v>
      </c>
      <c r="F7" s="122" t="s">
        <v>131</v>
      </c>
      <c r="G7" s="123"/>
      <c r="H7" s="123"/>
      <c r="I7" s="123"/>
      <c r="J7" s="124"/>
      <c r="K7" s="116" t="s">
        <v>137</v>
      </c>
      <c r="L7" s="116" t="s">
        <v>137</v>
      </c>
      <c r="M7" s="117"/>
    </row>
    <row r="8" spans="2:14" ht="14.65" thickTop="1">
      <c r="B8" s="21">
        <v>11</v>
      </c>
      <c r="C8" s="73"/>
      <c r="D8" s="10" t="s">
        <v>104</v>
      </c>
      <c r="E8" s="116" t="s">
        <v>126</v>
      </c>
      <c r="F8" s="119" t="s">
        <v>132</v>
      </c>
      <c r="G8" s="120"/>
      <c r="H8" s="120"/>
      <c r="I8" s="120"/>
      <c r="J8" s="121"/>
      <c r="K8" s="116" t="s">
        <v>137</v>
      </c>
      <c r="L8" s="116" t="s">
        <v>137</v>
      </c>
      <c r="M8" s="117"/>
    </row>
    <row r="9" spans="2:14" ht="14.65" thickBot="1">
      <c r="B9" s="21">
        <v>12</v>
      </c>
      <c r="C9" s="73"/>
      <c r="D9" s="10" t="s">
        <v>105</v>
      </c>
      <c r="E9" s="116" t="s">
        <v>127</v>
      </c>
      <c r="F9" s="122" t="s">
        <v>133</v>
      </c>
      <c r="G9" s="123"/>
      <c r="H9" s="123"/>
      <c r="I9" s="123"/>
      <c r="J9" s="124"/>
      <c r="K9" s="116" t="s">
        <v>138</v>
      </c>
      <c r="L9" s="116" t="s">
        <v>138</v>
      </c>
      <c r="M9" s="117"/>
    </row>
    <row r="10" spans="2:14" ht="15" thickTop="1" thickBot="1">
      <c r="B10" s="114">
        <v>13</v>
      </c>
      <c r="C10" s="73"/>
      <c r="D10" s="112" t="s">
        <v>106</v>
      </c>
      <c r="E10" s="117" t="s">
        <v>128</v>
      </c>
      <c r="F10" s="125" t="s">
        <v>134</v>
      </c>
      <c r="G10" s="125"/>
      <c r="H10" s="125"/>
      <c r="I10" s="125"/>
      <c r="J10" s="126"/>
      <c r="K10" s="127" t="s">
        <v>139</v>
      </c>
      <c r="L10" s="116" t="s">
        <v>139</v>
      </c>
      <c r="M10" s="117"/>
    </row>
    <row r="11" spans="2:14" ht="15" thickTop="1" thickBot="1">
      <c r="B11" s="2">
        <v>14</v>
      </c>
      <c r="C11" s="74"/>
      <c r="D11" s="9" t="s">
        <v>107</v>
      </c>
      <c r="E11" s="118" t="s">
        <v>129</v>
      </c>
      <c r="F11" s="119" t="s">
        <v>135</v>
      </c>
      <c r="G11" s="120"/>
      <c r="H11" s="120"/>
      <c r="I11" s="120"/>
      <c r="J11" s="121"/>
      <c r="K11" s="118" t="s">
        <v>140</v>
      </c>
      <c r="L11" s="118" t="s">
        <v>140</v>
      </c>
      <c r="M11" s="117"/>
    </row>
    <row r="12" spans="2:14" ht="14.65" thickTop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4" ht="14.65" thickBot="1">
      <c r="B13" s="3" t="s">
        <v>59</v>
      </c>
      <c r="K13" s="22"/>
    </row>
    <row r="14" spans="2:14" ht="15" thickTop="1" thickBot="1">
      <c r="B14" s="55" t="s">
        <v>60</v>
      </c>
      <c r="C14" s="56"/>
      <c r="D14" s="56"/>
      <c r="E14" s="56"/>
      <c r="F14" s="47" t="s">
        <v>61</v>
      </c>
      <c r="G14" s="48"/>
      <c r="H14" s="55" t="s">
        <v>62</v>
      </c>
      <c r="I14" s="56"/>
      <c r="J14" s="56"/>
      <c r="K14" s="56"/>
      <c r="L14" s="57"/>
      <c r="M14" s="61" t="s">
        <v>63</v>
      </c>
      <c r="N14" s="62"/>
    </row>
    <row r="15" spans="2:14" ht="14.65" thickTop="1">
      <c r="B15" s="39" t="s">
        <v>64</v>
      </c>
      <c r="C15" s="41" t="s">
        <v>65</v>
      </c>
      <c r="D15" s="41" t="s">
        <v>66</v>
      </c>
      <c r="E15" s="43" t="s">
        <v>67</v>
      </c>
      <c r="F15" s="45" t="s">
        <v>68</v>
      </c>
      <c r="G15" s="49" t="s">
        <v>69</v>
      </c>
      <c r="H15" s="51" t="s">
        <v>70</v>
      </c>
      <c r="I15" s="41" t="s">
        <v>64</v>
      </c>
      <c r="J15" s="41" t="s">
        <v>65</v>
      </c>
      <c r="K15" s="53" t="s">
        <v>71</v>
      </c>
      <c r="L15" s="58" t="s">
        <v>72</v>
      </c>
      <c r="M15" s="60" t="s">
        <v>73</v>
      </c>
      <c r="N15" s="50" t="s">
        <v>74</v>
      </c>
    </row>
    <row r="16" spans="2:14">
      <c r="B16" s="40"/>
      <c r="C16" s="42"/>
      <c r="D16" s="42"/>
      <c r="E16" s="44"/>
      <c r="F16" s="46"/>
      <c r="G16" s="49"/>
      <c r="H16" s="52"/>
      <c r="I16" s="42"/>
      <c r="J16" s="42"/>
      <c r="K16" s="54"/>
      <c r="L16" s="59"/>
      <c r="M16" s="39"/>
      <c r="N16" s="45"/>
    </row>
    <row r="17" spans="2:14">
      <c r="B17" s="26">
        <v>6</v>
      </c>
      <c r="C17" s="23">
        <v>6</v>
      </c>
      <c r="D17" s="23">
        <v>0</v>
      </c>
      <c r="E17" s="24">
        <v>100</v>
      </c>
      <c r="F17" s="25">
        <v>0</v>
      </c>
      <c r="G17" s="8" t="s">
        <v>75</v>
      </c>
      <c r="H17" s="7" t="s">
        <v>75</v>
      </c>
      <c r="I17" s="26">
        <f>SUM(J17:K17)</f>
        <v>0</v>
      </c>
      <c r="J17" s="23">
        <v>0</v>
      </c>
      <c r="K17" s="27">
        <v>0</v>
      </c>
      <c r="L17" s="28"/>
      <c r="M17" s="6" t="s">
        <v>75</v>
      </c>
      <c r="N17" s="29">
        <f>C17</f>
        <v>6</v>
      </c>
    </row>
  </sheetData>
  <mergeCells count="32">
    <mergeCell ref="B14:E14"/>
    <mergeCell ref="F5:J5"/>
    <mergeCell ref="F6:J6"/>
    <mergeCell ref="F7:J7"/>
    <mergeCell ref="F8:J8"/>
    <mergeCell ref="F9:J9"/>
    <mergeCell ref="F11:J11"/>
    <mergeCell ref="F10:I10"/>
    <mergeCell ref="D1:G1"/>
    <mergeCell ref="B3:L3"/>
    <mergeCell ref="B4:B5"/>
    <mergeCell ref="K4:L4"/>
    <mergeCell ref="C6:C11"/>
    <mergeCell ref="E4:J4"/>
    <mergeCell ref="C4:C5"/>
    <mergeCell ref="D4:D5"/>
    <mergeCell ref="F14:G14"/>
    <mergeCell ref="G15:G16"/>
    <mergeCell ref="N15:N16"/>
    <mergeCell ref="H15:H16"/>
    <mergeCell ref="I15:I16"/>
    <mergeCell ref="K15:K16"/>
    <mergeCell ref="J15:J16"/>
    <mergeCell ref="H14:L14"/>
    <mergeCell ref="L15:L16"/>
    <mergeCell ref="M15:M16"/>
    <mergeCell ref="M14:N14"/>
    <mergeCell ref="B15:B16"/>
    <mergeCell ref="C15:C16"/>
    <mergeCell ref="D15:D16"/>
    <mergeCell ref="E15:E16"/>
    <mergeCell ref="F15:F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2026-04-15T07:03:12Z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