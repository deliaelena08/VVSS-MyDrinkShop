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filterPrivacy="1" defaultThemeVersion="124226"/>
  <xr:revisionPtr revIDLastSave="0" documentId="13_ncr:1_{E4B67165-D2BA-463E-B5CC-F8092C6D8997}" xr6:coauthVersionLast="47" xr6:coauthVersionMax="47" xr10:uidLastSave="{00000000-0000-0000-0000-000000000000}"/>
  <bookViews>
    <workbookView xWindow="-98" yWindow="-98" windowWidth="21795" windowHeight="12975" firstSheet="1" xr2:uid="{00000000-000D-0000-FFFF-FFFF00000000}"/>
  </bookViews>
  <sheets>
    <sheet name="Statement" sheetId="1" r:id="rId1"/>
    <sheet name="F01.ECP" sheetId="2" r:id="rId2"/>
    <sheet name="F01.BVA" sheetId="3" r:id="rId3"/>
    <sheet name="BBT-TCs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4" l="1"/>
  <c r="B8" i="4" s="1"/>
  <c r="B9" i="4" s="1"/>
  <c r="B10" i="4" s="1"/>
  <c r="B1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H16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fill with DONE or n/a after re-testing</t>
        </r>
      </text>
    </comment>
    <comment ref="M16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 xml:space="preserve">Author:
</t>
        </r>
        <r>
          <rPr>
            <sz val="9"/>
            <color indexed="81"/>
            <rFont val="Tahoma"/>
            <family val="2"/>
          </rPr>
          <t xml:space="preserve">fill with DONE or n/a after regression testing
</t>
        </r>
      </text>
    </comment>
  </commentList>
</comments>
</file>

<file path=xl/sharedStrings.xml><?xml version="1.0" encoding="utf-8"?>
<sst xmlns="http://schemas.openxmlformats.org/spreadsheetml/2006/main" count="204" uniqueCount="102">
  <si>
    <t>VVSS, Info Romana, 2025-2026</t>
  </si>
  <si>
    <t>Lab02. Black-box Testing. ECP, BVA</t>
  </si>
  <si>
    <t>Echipa</t>
  </si>
  <si>
    <t>Numele si prenumele</t>
  </si>
  <si>
    <t>Grupa</t>
  </si>
  <si>
    <t>Student 1:</t>
  </si>
  <si>
    <t>Student 2:</t>
  </si>
  <si>
    <t>Student 3:</t>
  </si>
  <si>
    <t>Tehnicile ECP si BVA sunt exemplificate pentru problema de mai jos. Studentii vor aplica aceeasi modalitate de lucru pentru proiectul primit in Lab01.</t>
  </si>
  <si>
    <t>[Unit BBT]</t>
  </si>
  <si>
    <t>Proiectaţi şi implementaţi o aplicaţie Java pentru rezolvarea problemei propuse. Se va evidenţia o arhitectură stratificată.</t>
  </si>
  <si>
    <t>Informaţiile vor fi preluate din fişiere text.</t>
  </si>
  <si>
    <t>1. Evidenţa filmelor din colecţia personală</t>
  </si>
  <si>
    <t>Un cinefil doreşte să îşi dezvolte un program pentru gestionarea filmelor din colecţia personală. Programul va permite următoarele operaţii:</t>
  </si>
  <si>
    <r>
      <rPr>
        <b/>
        <sz val="11"/>
        <color indexed="8"/>
        <rFont val="Calibri"/>
        <family val="2"/>
      </rPr>
      <t>F01.</t>
    </r>
    <r>
      <rPr>
        <sz val="11"/>
        <color theme="1"/>
        <rFont val="Calibri"/>
        <family val="2"/>
        <scheme val="minor"/>
      </rPr>
      <t xml:space="preserve"> adăugarea unui film nou (titlu, regizor, an aparitie, actori, categorie, cuvinte cheie);</t>
    </r>
  </si>
  <si>
    <t>Observații</t>
  </si>
  <si>
    <t xml:space="preserve">1. La proiectarea TCs se consideră o metodă care poate avea următoarea semnătură: </t>
  </si>
  <si>
    <t>addMovie(String title, String director, int year, List&lt;String&gt; actors, String category, List&lt;String&gt; keywords): void</t>
  </si>
  <si>
    <t>2. Metoda este definită la nivelul repository, service sau ui.</t>
  </si>
  <si>
    <t>3. Se aleg doi parametri ai metodei testate şi se definesc condiţii asupra acestora. Condiţiile (constrângerile) rezultă din specificaţii.</t>
  </si>
  <si>
    <t>4. Pentru aceşti parametri se aplică ECP şi BVA. La proiectarea testelor se consideră că parametrii de intrare neinvestigaţi aici au valori valide, adică folosim dummy objects.</t>
  </si>
  <si>
    <r>
      <t xml:space="preserve">Exemplu: Parametrii </t>
    </r>
    <r>
      <rPr>
        <b/>
        <i/>
        <sz val="11"/>
        <color indexed="30"/>
        <rFont val="Calibri"/>
        <family val="2"/>
      </rPr>
      <t>title</t>
    </r>
    <r>
      <rPr>
        <b/>
        <sz val="11"/>
        <color indexed="30"/>
        <rFont val="Calibri"/>
        <family val="2"/>
      </rPr>
      <t xml:space="preserve"> şi </t>
    </r>
    <r>
      <rPr>
        <b/>
        <i/>
        <sz val="11"/>
        <color indexed="30"/>
        <rFont val="Calibri"/>
        <family val="2"/>
      </rPr>
      <t>year</t>
    </r>
    <r>
      <rPr>
        <b/>
        <sz val="11"/>
        <color indexed="30"/>
        <rFont val="Calibri"/>
        <family val="2"/>
      </rPr>
      <t xml:space="preserve">; Condiţii pentru aceşti parametri de intrare: </t>
    </r>
    <r>
      <rPr>
        <b/>
        <i/>
        <sz val="11"/>
        <color indexed="30"/>
        <rFont val="Calibri"/>
        <family val="2"/>
      </rPr>
      <t>title</t>
    </r>
    <r>
      <rPr>
        <b/>
        <sz val="11"/>
        <color indexed="30"/>
        <rFont val="Calibri"/>
        <family val="2"/>
      </rPr>
      <t xml:space="preserve"> este un string cu lungimea validă de la 1 la 255 caractere; </t>
    </r>
    <r>
      <rPr>
        <b/>
        <i/>
        <sz val="11"/>
        <color indexed="30"/>
        <rFont val="Calibri"/>
        <family val="2"/>
      </rPr>
      <t>year</t>
    </r>
    <r>
      <rPr>
        <b/>
        <sz val="11"/>
        <color indexed="30"/>
        <rFont val="Calibri"/>
        <family val="2"/>
      </rPr>
      <t xml:space="preserve"> este valid dacă ia valori între 1899 şi 2025.</t>
    </r>
  </si>
  <si>
    <t>EC Identification</t>
  </si>
  <si>
    <t>EC-based TCs</t>
  </si>
  <si>
    <t>No. EC</t>
  </si>
  <si>
    <t>Condition</t>
  </si>
  <si>
    <t>Valid EC</t>
  </si>
  <si>
    <t>Non-valid EC</t>
  </si>
  <si>
    <t>No. TCxx_EC</t>
  </si>
  <si>
    <t>EC</t>
  </si>
  <si>
    <t>input data</t>
  </si>
  <si>
    <t>output data</t>
  </si>
  <si>
    <t>categorie</t>
  </si>
  <si>
    <t>expected</t>
  </si>
  <si>
    <t>record added</t>
  </si>
  <si>
    <t>…</t>
  </si>
  <si>
    <t>-</t>
  </si>
  <si>
    <t>""</t>
  </si>
  <si>
    <t xml:space="preserve"> </t>
  </si>
  <si>
    <t>BVA Condition</t>
  </si>
  <si>
    <t>BVA Condition-based TCs</t>
  </si>
  <si>
    <t>Crt. No.</t>
  </si>
  <si>
    <t>No TCxx_BVA</t>
  </si>
  <si>
    <t>BVA condition</t>
  </si>
  <si>
    <t>Correlated TC</t>
  </si>
  <si>
    <t>Executable</t>
  </si>
  <si>
    <t>expected result</t>
  </si>
  <si>
    <t>BBT TCs</t>
  </si>
  <si>
    <t>Final        TC No.</t>
  </si>
  <si>
    <t>Req. ID</t>
  </si>
  <si>
    <t>ECP TCs</t>
  </si>
  <si>
    <t>BVA TCs</t>
  </si>
  <si>
    <t>actual result</t>
  </si>
  <si>
    <t>F01</t>
  </si>
  <si>
    <t>TC1_ECP</t>
  </si>
  <si>
    <t>TC3_BVA</t>
  </si>
  <si>
    <t>TC4_BVA</t>
  </si>
  <si>
    <t>Statistics</t>
  </si>
  <si>
    <t>Testing</t>
  </si>
  <si>
    <t>Debugging</t>
  </si>
  <si>
    <t>Re-testing</t>
  </si>
  <si>
    <t>Regression Testing</t>
  </si>
  <si>
    <t>#TCs to be run</t>
  </si>
  <si>
    <r>
      <t xml:space="preserve">#TCs </t>
    </r>
    <r>
      <rPr>
        <b/>
        <sz val="11"/>
        <color indexed="17"/>
        <rFont val="Calibri"/>
        <family val="2"/>
      </rPr>
      <t>passed</t>
    </r>
  </si>
  <si>
    <r>
      <t xml:space="preserve">#TCs    </t>
    </r>
    <r>
      <rPr>
        <b/>
        <sz val="11"/>
        <color indexed="10"/>
        <rFont val="Calibri"/>
        <family val="2"/>
      </rPr>
      <t>failed</t>
    </r>
  </si>
  <si>
    <t>#Bugs</t>
  </si>
  <si>
    <t>#Fixed Bugs</t>
  </si>
  <si>
    <t>Re-tested</t>
  </si>
  <si>
    <t>nume is String</t>
  </si>
  <si>
    <t>length &gt; 0</t>
  </si>
  <si>
    <t>length == 0</t>
  </si>
  <si>
    <t>pret is number</t>
  </si>
  <si>
    <t>pret &gt; 0</t>
  </si>
  <si>
    <t>pret &lt;= 0</t>
  </si>
  <si>
    <t>1, 3</t>
  </si>
  <si>
    <t>id</t>
  </si>
  <si>
    <t>nume</t>
  </si>
  <si>
    <t>pret</t>
  </si>
  <si>
    <t>tip</t>
  </si>
  <si>
    <t>"pepsi"</t>
  </si>
  <si>
    <t>JUICE</t>
  </si>
  <si>
    <t>BASIC</t>
  </si>
  <si>
    <t>ValidationException</t>
  </si>
  <si>
    <t>Adăugarea unui produs nou (Product), prin atributele id, nume, pret, categorie, tip.</t>
  </si>
  <si>
    <t>1, 4</t>
  </si>
  <si>
    <t>"mirinda"</t>
  </si>
  <si>
    <t>2, 3</t>
  </si>
  <si>
    <t>2, 4</t>
  </si>
  <si>
    <t>pret &gt; 0 (interval [0.01, MAX])</t>
  </si>
  <si>
    <t>01. pret = 0.01 (limita minima valida)</t>
  </si>
  <si>
    <t>02. pret = 0.0 (limita invalida)</t>
  </si>
  <si>
    <t>03. pret = -0.01 (valoare sub limita invalida)</t>
  </si>
  <si>
    <t>04. pret = 100.0 (valoare valida in interiorul intervalului)</t>
  </si>
  <si>
    <t>TC1_BVA</t>
  </si>
  <si>
    <t>yes</t>
  </si>
  <si>
    <t>TC2_BVA</t>
  </si>
  <si>
    <t>F01. Adăugarea unui produs nou (Product), prin atributele id, nume, pret, categorie, tip.</t>
  </si>
  <si>
    <t>TC2_ECP</t>
  </si>
  <si>
    <t>TC4_ECP</t>
  </si>
  <si>
    <t>" "</t>
  </si>
  <si>
    <t>Temneanu Maria</t>
  </si>
  <si>
    <t>Tapuc Delia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</si>
</sst>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indexed="10"/>
      <name val="Calibri"/>
      <family val="2"/>
    </font>
    <font>
      <b/>
      <sz val="11"/>
      <color indexed="17"/>
      <name val="Calibri"/>
      <family val="2"/>
    </font>
    <font>
      <b/>
      <sz val="11"/>
      <color indexed="30"/>
      <name val="Calibri"/>
      <family val="2"/>
    </font>
    <font>
      <b/>
      <i/>
      <sz val="11"/>
      <color indexed="30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9"/>
      <color rgb="FFC00000"/>
      <name val="Candara"/>
      <family val="2"/>
    </font>
    <font>
      <sz val="11"/>
      <name val="Calibri"/>
      <family val="2"/>
      <charset val="238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sz val="11"/>
      <color theme="1"/>
      <name val="Courier New"/>
      <family val="3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8" fillId="0" borderId="0" xfId="0" applyFont="1"/>
    <xf numFmtId="0" fontId="0" fillId="0" borderId="1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11" fillId="0" borderId="0" xfId="0" applyFont="1"/>
    <xf numFmtId="0" fontId="0" fillId="0" borderId="0" xfId="0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 vertical="center"/>
    </xf>
    <xf numFmtId="0" fontId="9" fillId="0" borderId="1" xfId="0" applyFont="1" applyBorder="1"/>
    <xf numFmtId="0" fontId="13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15" fillId="0" borderId="0" xfId="0" applyFont="1"/>
    <xf numFmtId="0" fontId="0" fillId="0" borderId="6" xfId="0" applyBorder="1"/>
    <xf numFmtId="0" fontId="8" fillId="0" borderId="7" xfId="0" applyFont="1" applyBorder="1" applyAlignment="1">
      <alignment horizontal="center" vertical="center"/>
    </xf>
    <xf numFmtId="0" fontId="0" fillId="2" borderId="1" xfId="0" applyFill="1" applyBorder="1"/>
    <xf numFmtId="0" fontId="0" fillId="2" borderId="8" xfId="0" applyFill="1" applyBorder="1"/>
    <xf numFmtId="0" fontId="0" fillId="3" borderId="9" xfId="0" applyFill="1" applyBorder="1" applyAlignment="1">
      <alignment horizontal="center" vertical="center"/>
    </xf>
    <xf numFmtId="0" fontId="11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0" fontId="17" fillId="2" borderId="6" xfId="0" applyFont="1" applyFill="1" applyBorder="1" applyAlignment="1">
      <alignment horizontal="center"/>
    </xf>
    <xf numFmtId="0" fontId="18" fillId="2" borderId="10" xfId="0" applyFont="1" applyFill="1" applyBorder="1" applyAlignment="1">
      <alignment horizontal="center"/>
    </xf>
    <xf numFmtId="0" fontId="19" fillId="0" borderId="0" xfId="0" applyFont="1"/>
    <xf numFmtId="0" fontId="0" fillId="0" borderId="0" xfId="0" applyAlignment="1">
      <alignment vertical="center"/>
    </xf>
    <xf numFmtId="0" fontId="13" fillId="0" borderId="0" xfId="0" applyFont="1"/>
    <xf numFmtId="0" fontId="20" fillId="0" borderId="0" xfId="0" applyFont="1"/>
    <xf numFmtId="0" fontId="14" fillId="0" borderId="11" xfId="0" applyFont="1" applyBorder="1"/>
    <xf numFmtId="0" fontId="0" fillId="0" borderId="1" xfId="0" applyBorder="1" applyAlignment="1">
      <alignment horizontal="center"/>
    </xf>
    <xf numFmtId="0" fontId="8" fillId="0" borderId="2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8" fillId="0" borderId="2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32" xfId="0" applyFont="1" applyBorder="1" applyAlignment="1">
      <alignment horizontal="center" vertical="center"/>
    </xf>
    <xf numFmtId="0" fontId="8" fillId="0" borderId="33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8" fillId="0" borderId="34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35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36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4" borderId="9" xfId="0" applyFont="1" applyFill="1" applyBorder="1" applyAlignment="1">
      <alignment horizontal="center"/>
    </xf>
    <xf numFmtId="0" fontId="8" fillId="4" borderId="11" xfId="0" applyFont="1" applyFill="1" applyBorder="1" applyAlignment="1">
      <alignment horizontal="center"/>
    </xf>
    <xf numFmtId="0" fontId="8" fillId="4" borderId="5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0" fillId="3" borderId="18" xfId="0" applyFont="1" applyFill="1" applyBorder="1" applyAlignment="1">
      <alignment horizontal="center" vertical="center"/>
    </xf>
    <xf numFmtId="0" fontId="8" fillId="0" borderId="12" xfId="0" applyFont="1" applyBorder="1" applyAlignment="1">
      <alignment horizontal="center" vertical="center" wrapText="1"/>
    </xf>
    <xf numFmtId="0" fontId="8" fillId="0" borderId="15" xfId="0" applyFont="1" applyBorder="1" applyAlignment="1">
      <alignment horizontal="center" vertical="center" wrapText="1"/>
    </xf>
    <xf numFmtId="0" fontId="8" fillId="0" borderId="20" xfId="0" applyFont="1" applyBorder="1" applyAlignment="1">
      <alignment horizontal="center" vertical="center"/>
    </xf>
    <xf numFmtId="0" fontId="18" fillId="2" borderId="21" xfId="0" applyFont="1" applyFill="1" applyBorder="1" applyAlignment="1">
      <alignment horizontal="center"/>
    </xf>
    <xf numFmtId="0" fontId="18" fillId="2" borderId="5" xfId="0" applyFont="1" applyFill="1" applyBorder="1" applyAlignment="1">
      <alignment horizontal="center"/>
    </xf>
    <xf numFmtId="0" fontId="8" fillId="0" borderId="9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8" fillId="0" borderId="24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8" fillId="0" borderId="2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31" xfId="0" applyFont="1" applyBorder="1" applyAlignment="1">
      <alignment horizontal="center" vertical="center" wrapText="1"/>
    </xf>
    <xf numFmtId="0" fontId="8" fillId="0" borderId="22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14" fillId="0" borderId="0" xfId="0" applyFont="1" applyAlignment="1">
      <alignment horizontal="left" vertic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1" fillId="0" borderId="9" xfId="0" applyFont="1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5" xfId="0" applyBorder="1" applyAlignment="1">
      <alignment horizontal="left"/>
    </xf>
    <xf numFmtId="0" fontId="8" fillId="5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5" xfId="0" applyBorder="1" applyAlignment="1">
      <alignment horizontal="center"/>
    </xf>
    <xf numFmtId="0" fontId="8" fillId="0" borderId="2" xfId="0" applyFont="1" applyBorder="1" applyAlignment="1">
      <alignment horizontal="center" vertical="center"/>
    </xf>
    <xf numFmtId="0" fontId="11" fillId="0" borderId="0" xfId="0" applyFont="1" applyAlignment="1">
      <alignment horizontal="center"/>
    </xf>
    <xf numFmtId="0" fontId="9" fillId="0" borderId="9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16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0" fillId="5" borderId="1" xfId="0" applyFill="1" applyBorder="1" applyAlignment="1">
      <alignment horizontal="center"/>
    </xf>
    <xf numFmtId="0" fontId="8" fillId="0" borderId="9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12" fillId="0" borderId="9" xfId="0" applyFont="1" applyBorder="1" applyAlignment="1">
      <alignment horizontal="center"/>
    </xf>
    <xf numFmtId="0" fontId="12" fillId="0" borderId="5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O26"/>
  <sheetViews>
    <sheetView tabSelected="1" workbookViewId="0">
      <selection activeCell="K11" sqref="K11"/>
    </sheetView>
  </sheetViews>
  <sheetFormatPr defaultRowHeight="14.25" x14ac:dyDescent="0.45"/>
  <cols>
    <col min="4" max="4" width="22.59765625" customWidth="1"/>
    <col min="9" max="9" width="32.86328125" customWidth="1"/>
    <col min="10" max="10" width="10.59765625" customWidth="1"/>
    <col min="12" max="12" width="12.1328125" customWidth="1"/>
    <col min="14" max="14" width="20" customWidth="1"/>
  </cols>
  <sheetData>
    <row r="1" spans="2:10" x14ac:dyDescent="0.45">
      <c r="C1" s="52" t="s">
        <v>0</v>
      </c>
      <c r="D1" s="53"/>
      <c r="E1" s="53"/>
      <c r="F1" s="54"/>
      <c r="H1" s="34" t="s">
        <v>1</v>
      </c>
      <c r="I1" s="34"/>
      <c r="J1" s="34"/>
    </row>
    <row r="2" spans="2:10" x14ac:dyDescent="0.45">
      <c r="H2" s="89" t="s">
        <v>2</v>
      </c>
      <c r="I2" s="89"/>
      <c r="J2" s="89"/>
    </row>
    <row r="3" spans="2:10" x14ac:dyDescent="0.45">
      <c r="H3" s="2"/>
      <c r="I3" s="2" t="s">
        <v>3</v>
      </c>
      <c r="J3" s="2" t="s">
        <v>4</v>
      </c>
    </row>
    <row r="4" spans="2:10" x14ac:dyDescent="0.45">
      <c r="H4" s="2" t="s">
        <v>5</v>
      </c>
      <c r="I4" s="2" t="s">
        <v>100</v>
      </c>
      <c r="J4" s="2">
        <v>237</v>
      </c>
    </row>
    <row r="5" spans="2:10" x14ac:dyDescent="0.45">
      <c r="H5" s="2" t="s">
        <v>6</v>
      </c>
      <c r="I5" s="2" t="s">
        <v>101</v>
      </c>
      <c r="J5" s="2">
        <v>237</v>
      </c>
    </row>
    <row r="6" spans="2:10" x14ac:dyDescent="0.45">
      <c r="B6" s="20"/>
      <c r="H6" s="2" t="s">
        <v>7</v>
      </c>
      <c r="I6" s="2"/>
      <c r="J6" s="2"/>
    </row>
    <row r="7" spans="2:10" ht="14.45" customHeight="1" x14ac:dyDescent="0.45"/>
    <row r="8" spans="2:10" x14ac:dyDescent="0.45">
      <c r="B8" s="32" t="s">
        <v>8</v>
      </c>
    </row>
    <row r="9" spans="2:10" x14ac:dyDescent="0.45">
      <c r="B9" s="1" t="s">
        <v>9</v>
      </c>
    </row>
    <row r="10" spans="2:10" x14ac:dyDescent="0.45">
      <c r="B10" s="1" t="s">
        <v>10</v>
      </c>
    </row>
    <row r="11" spans="2:10" x14ac:dyDescent="0.45">
      <c r="B11" s="1" t="s">
        <v>11</v>
      </c>
    </row>
    <row r="12" spans="2:10" x14ac:dyDescent="0.45">
      <c r="B12" s="1"/>
      <c r="C12" s="1"/>
      <c r="D12" s="1"/>
      <c r="E12" s="1"/>
    </row>
    <row r="13" spans="2:10" x14ac:dyDescent="0.45">
      <c r="B13" s="1"/>
      <c r="C13" s="1"/>
      <c r="D13" s="1"/>
      <c r="E13" s="1"/>
    </row>
    <row r="14" spans="2:10" x14ac:dyDescent="0.45">
      <c r="B14" t="s">
        <v>12</v>
      </c>
      <c r="C14" s="1"/>
      <c r="D14" s="1"/>
      <c r="E14" s="1"/>
    </row>
    <row r="15" spans="2:10" x14ac:dyDescent="0.45">
      <c r="B15" t="s">
        <v>13</v>
      </c>
      <c r="C15" s="1"/>
      <c r="D15" s="1"/>
      <c r="E15" s="1"/>
    </row>
    <row r="16" spans="2:10" x14ac:dyDescent="0.45">
      <c r="B16" t="s">
        <v>14</v>
      </c>
      <c r="C16" s="1"/>
      <c r="D16" s="1"/>
      <c r="E16" s="1"/>
    </row>
    <row r="17" spans="1:15" x14ac:dyDescent="0.45">
      <c r="B17" s="1"/>
      <c r="D17" s="1"/>
      <c r="E17" s="1"/>
    </row>
    <row r="18" spans="1:15" x14ac:dyDescent="0.45">
      <c r="B18" s="32" t="s">
        <v>15</v>
      </c>
    </row>
    <row r="19" spans="1:15" x14ac:dyDescent="0.45">
      <c r="B19" s="1" t="s">
        <v>16</v>
      </c>
    </row>
    <row r="20" spans="1:15" x14ac:dyDescent="0.45">
      <c r="C20" s="30" t="s">
        <v>17</v>
      </c>
    </row>
    <row r="21" spans="1:15" x14ac:dyDescent="0.45">
      <c r="B21" s="1" t="s">
        <v>18</v>
      </c>
    </row>
    <row r="22" spans="1:15" x14ac:dyDescent="0.45">
      <c r="B22" s="1" t="s">
        <v>19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x14ac:dyDescent="0.45">
      <c r="B23" s="1" t="s">
        <v>20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14.45" customHeight="1" x14ac:dyDescent="0.45">
      <c r="A24" s="31"/>
      <c r="B24" s="88" t="s">
        <v>21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</row>
    <row r="26" spans="1:15" x14ac:dyDescent="0.45">
      <c r="C26" s="33"/>
    </row>
  </sheetData>
  <mergeCells count="3">
    <mergeCell ref="B24:N24"/>
    <mergeCell ref="C1:F1"/>
    <mergeCell ref="H2:J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B1:Q17"/>
  <sheetViews>
    <sheetView zoomScale="74" workbookViewId="0">
      <selection activeCell="J24" sqref="J24"/>
    </sheetView>
  </sheetViews>
  <sheetFormatPr defaultRowHeight="14.25" x14ac:dyDescent="0.45"/>
  <cols>
    <col min="2" max="2" width="10.1328125" bestFit="1" customWidth="1"/>
    <col min="3" max="4" width="18.1328125" bestFit="1" customWidth="1"/>
    <col min="5" max="5" width="19.86328125" bestFit="1" customWidth="1"/>
    <col min="6" max="6" width="5.86328125" customWidth="1"/>
    <col min="7" max="7" width="8" customWidth="1"/>
    <col min="8" max="8" width="11.86328125" bestFit="1" customWidth="1"/>
    <col min="9" max="9" width="7" customWidth="1"/>
    <col min="10" max="10" width="25.59765625" bestFit="1" customWidth="1"/>
    <col min="11" max="11" width="9.86328125" bestFit="1" customWidth="1"/>
    <col min="12" max="12" width="12.86328125" bestFit="1" customWidth="1"/>
    <col min="13" max="13" width="8.86328125" bestFit="1" customWidth="1"/>
    <col min="14" max="14" width="29.3984375" customWidth="1"/>
    <col min="15" max="15" width="5" customWidth="1"/>
  </cols>
  <sheetData>
    <row r="1" spans="2:17" x14ac:dyDescent="0.45">
      <c r="B1" s="52" t="s">
        <v>0</v>
      </c>
      <c r="C1" s="53"/>
      <c r="D1" s="53"/>
      <c r="E1" s="54"/>
    </row>
    <row r="3" spans="2:17" x14ac:dyDescent="0.45">
      <c r="B3" s="91" t="s">
        <v>96</v>
      </c>
      <c r="C3" s="92"/>
      <c r="D3" s="92"/>
      <c r="E3" s="92"/>
      <c r="F3" s="92"/>
      <c r="G3" s="93"/>
    </row>
    <row r="5" spans="2:17" x14ac:dyDescent="0.45">
      <c r="B5" s="94" t="s">
        <v>22</v>
      </c>
      <c r="C5" s="94"/>
      <c r="D5" s="94"/>
      <c r="E5" s="94"/>
      <c r="G5" s="95" t="s">
        <v>23</v>
      </c>
      <c r="H5" s="95"/>
      <c r="I5" s="95"/>
      <c r="J5" s="95"/>
      <c r="K5" s="95"/>
      <c r="L5" s="95"/>
      <c r="M5" s="95"/>
      <c r="N5" s="95"/>
      <c r="O5" s="95"/>
    </row>
    <row r="6" spans="2:17" x14ac:dyDescent="0.45">
      <c r="B6" s="12" t="s">
        <v>24</v>
      </c>
      <c r="C6" s="12" t="s">
        <v>25</v>
      </c>
      <c r="D6" s="12" t="s">
        <v>26</v>
      </c>
      <c r="E6" s="12" t="s">
        <v>27</v>
      </c>
      <c r="G6" s="66" t="s">
        <v>28</v>
      </c>
      <c r="H6" s="59" t="s">
        <v>29</v>
      </c>
      <c r="I6" s="56" t="s">
        <v>30</v>
      </c>
      <c r="J6" s="57"/>
      <c r="K6" s="57"/>
      <c r="L6" s="57"/>
      <c r="M6" s="57"/>
      <c r="N6" s="55" t="s">
        <v>31</v>
      </c>
      <c r="O6" s="55"/>
      <c r="P6" s="3"/>
      <c r="Q6" s="3"/>
    </row>
    <row r="7" spans="2:17" x14ac:dyDescent="0.45">
      <c r="B7" s="4">
        <v>1</v>
      </c>
      <c r="C7" s="90" t="s">
        <v>68</v>
      </c>
      <c r="D7" s="4" t="s">
        <v>69</v>
      </c>
      <c r="E7" s="4"/>
      <c r="G7" s="84"/>
      <c r="H7" s="98"/>
      <c r="I7" s="12" t="s">
        <v>75</v>
      </c>
      <c r="J7" s="12" t="s">
        <v>76</v>
      </c>
      <c r="K7" s="12" t="s">
        <v>77</v>
      </c>
      <c r="L7" s="12" t="s">
        <v>32</v>
      </c>
      <c r="M7" s="12" t="s">
        <v>78</v>
      </c>
      <c r="N7" s="56" t="s">
        <v>33</v>
      </c>
      <c r="O7" s="58"/>
      <c r="P7" s="3"/>
      <c r="Q7" s="3"/>
    </row>
    <row r="8" spans="2:17" x14ac:dyDescent="0.45">
      <c r="B8" s="4">
        <v>2</v>
      </c>
      <c r="C8" s="90"/>
      <c r="D8" s="4"/>
      <c r="E8" s="4" t="s">
        <v>70</v>
      </c>
      <c r="G8" s="37">
        <v>1</v>
      </c>
      <c r="H8" s="35" t="s">
        <v>74</v>
      </c>
      <c r="I8" s="35">
        <v>1</v>
      </c>
      <c r="J8" s="35" t="s">
        <v>79</v>
      </c>
      <c r="K8" s="35">
        <v>5</v>
      </c>
      <c r="L8" s="35" t="s">
        <v>80</v>
      </c>
      <c r="M8" s="35" t="s">
        <v>81</v>
      </c>
      <c r="N8" s="96" t="s">
        <v>34</v>
      </c>
      <c r="O8" s="97"/>
      <c r="P8" s="3"/>
      <c r="Q8" s="3"/>
    </row>
    <row r="9" spans="2:17" x14ac:dyDescent="0.45">
      <c r="B9" s="4">
        <v>3</v>
      </c>
      <c r="C9" s="4" t="s">
        <v>71</v>
      </c>
      <c r="D9" s="4" t="s">
        <v>72</v>
      </c>
      <c r="E9" s="4"/>
      <c r="G9" s="12">
        <v>2</v>
      </c>
      <c r="H9" s="35" t="s">
        <v>86</v>
      </c>
      <c r="I9" s="35">
        <v>2</v>
      </c>
      <c r="J9" s="35" t="s">
        <v>37</v>
      </c>
      <c r="K9" s="35">
        <v>8</v>
      </c>
      <c r="L9" s="35" t="s">
        <v>80</v>
      </c>
      <c r="M9" s="35" t="s">
        <v>81</v>
      </c>
      <c r="N9" s="96" t="s">
        <v>82</v>
      </c>
      <c r="O9" s="97"/>
      <c r="P9" s="3"/>
      <c r="Q9" s="3"/>
    </row>
    <row r="10" spans="2:17" x14ac:dyDescent="0.45">
      <c r="B10" s="4">
        <v>4</v>
      </c>
      <c r="C10" s="90"/>
      <c r="D10" s="4"/>
      <c r="E10" s="4" t="s">
        <v>73</v>
      </c>
      <c r="G10" s="12">
        <v>3</v>
      </c>
      <c r="H10" s="3" t="s">
        <v>84</v>
      </c>
      <c r="I10" s="35">
        <v>3</v>
      </c>
      <c r="J10" s="35" t="s">
        <v>85</v>
      </c>
      <c r="K10" s="35">
        <v>-2</v>
      </c>
      <c r="L10" s="35" t="s">
        <v>80</v>
      </c>
      <c r="M10" s="35" t="s">
        <v>81</v>
      </c>
      <c r="N10" s="96" t="s">
        <v>82</v>
      </c>
      <c r="O10" s="97"/>
      <c r="P10" s="3"/>
      <c r="Q10" s="3"/>
    </row>
    <row r="11" spans="2:17" x14ac:dyDescent="0.45">
      <c r="B11" s="4">
        <v>10</v>
      </c>
      <c r="C11" s="90"/>
      <c r="D11" s="4"/>
      <c r="E11" s="4"/>
      <c r="G11" s="12">
        <v>4</v>
      </c>
      <c r="H11" s="35" t="s">
        <v>87</v>
      </c>
      <c r="I11" s="35">
        <v>4</v>
      </c>
      <c r="J11" s="35" t="s">
        <v>37</v>
      </c>
      <c r="K11" s="35">
        <v>0</v>
      </c>
      <c r="L11" s="35" t="s">
        <v>80</v>
      </c>
      <c r="M11" s="35" t="s">
        <v>81</v>
      </c>
      <c r="N11" s="96" t="s">
        <v>82</v>
      </c>
      <c r="O11" s="97"/>
      <c r="P11" s="3"/>
      <c r="Q11" s="3"/>
    </row>
    <row r="12" spans="2:17" x14ac:dyDescent="0.45">
      <c r="B12" s="4">
        <v>11</v>
      </c>
      <c r="C12" s="90"/>
      <c r="D12" s="4"/>
      <c r="E12" s="4"/>
      <c r="G12" s="11"/>
      <c r="H12" s="10"/>
      <c r="I12" s="10"/>
      <c r="J12" s="10"/>
      <c r="K12" s="10"/>
      <c r="L12" s="10"/>
      <c r="M12" s="10"/>
      <c r="N12" s="100"/>
      <c r="O12" s="101"/>
    </row>
    <row r="13" spans="2:17" x14ac:dyDescent="0.45">
      <c r="B13" s="4">
        <v>12</v>
      </c>
      <c r="C13" s="90"/>
      <c r="D13" s="4"/>
      <c r="E13" s="4"/>
      <c r="G13" s="11"/>
      <c r="H13" s="10"/>
      <c r="I13" s="10"/>
      <c r="J13" s="10"/>
      <c r="K13" s="10"/>
      <c r="L13" s="10"/>
      <c r="M13" s="10"/>
      <c r="N13" s="100"/>
      <c r="O13" s="101"/>
    </row>
    <row r="14" spans="2:17" x14ac:dyDescent="0.45">
      <c r="B14" s="4">
        <v>13</v>
      </c>
      <c r="C14" s="90"/>
      <c r="D14" s="4"/>
      <c r="E14" s="4"/>
      <c r="G14" s="12"/>
      <c r="H14" s="2"/>
      <c r="I14" s="2"/>
      <c r="J14" s="2"/>
      <c r="K14" s="2"/>
      <c r="L14" s="2"/>
      <c r="M14" s="2"/>
      <c r="N14" s="100"/>
      <c r="O14" s="101"/>
    </row>
    <row r="15" spans="2:17" x14ac:dyDescent="0.45">
      <c r="B15" s="4">
        <v>14</v>
      </c>
      <c r="C15" s="90"/>
      <c r="D15" s="4"/>
      <c r="E15" s="4"/>
    </row>
    <row r="17" spans="4:7" x14ac:dyDescent="0.45">
      <c r="D17" t="s">
        <v>38</v>
      </c>
      <c r="F17" s="99"/>
      <c r="G17" s="99"/>
    </row>
  </sheetData>
  <mergeCells count="21">
    <mergeCell ref="F17:G17"/>
    <mergeCell ref="N11:O11"/>
    <mergeCell ref="N12:O12"/>
    <mergeCell ref="N13:O13"/>
    <mergeCell ref="N14:O14"/>
    <mergeCell ref="B1:E1"/>
    <mergeCell ref="C14:C15"/>
    <mergeCell ref="C7:C8"/>
    <mergeCell ref="C10:C11"/>
    <mergeCell ref="C12:C13"/>
    <mergeCell ref="B3:G3"/>
    <mergeCell ref="B5:E5"/>
    <mergeCell ref="G5:O5"/>
    <mergeCell ref="G6:G7"/>
    <mergeCell ref="N8:O8"/>
    <mergeCell ref="N9:O9"/>
    <mergeCell ref="H6:H7"/>
    <mergeCell ref="N6:O6"/>
    <mergeCell ref="I6:M6"/>
    <mergeCell ref="N7:O7"/>
    <mergeCell ref="N10:O10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59999389629810485"/>
  </sheetPr>
  <dimension ref="B1:Q17"/>
  <sheetViews>
    <sheetView zoomScale="64" workbookViewId="0">
      <selection activeCell="H28" sqref="H28"/>
    </sheetView>
  </sheetViews>
  <sheetFormatPr defaultRowHeight="14.25" x14ac:dyDescent="0.45"/>
  <cols>
    <col min="2" max="2" width="11.265625" bestFit="1" customWidth="1"/>
    <col min="3" max="3" width="12.59765625" bestFit="1" customWidth="1"/>
    <col min="4" max="4" width="34" customWidth="1"/>
    <col min="5" max="5" width="7" customWidth="1"/>
    <col min="6" max="6" width="5.59765625" customWidth="1"/>
    <col min="7" max="7" width="9.3984375" customWidth="1"/>
    <col min="9" max="9" width="10" customWidth="1"/>
    <col min="10" max="10" width="10.1328125" bestFit="1" customWidth="1"/>
    <col min="11" max="11" width="9.59765625" customWidth="1"/>
    <col min="12" max="12" width="18.265625" bestFit="1" customWidth="1"/>
    <col min="13" max="13" width="7.265625" bestFit="1" customWidth="1"/>
    <col min="14" max="14" width="12.86328125" bestFit="1" customWidth="1"/>
    <col min="15" max="15" width="8.86328125" bestFit="1" customWidth="1"/>
    <col min="16" max="16" width="23.265625" customWidth="1"/>
    <col min="17" max="17" width="9.3984375" customWidth="1"/>
  </cols>
  <sheetData>
    <row r="1" spans="2:17" x14ac:dyDescent="0.45">
      <c r="B1" s="52" t="s">
        <v>0</v>
      </c>
      <c r="C1" s="53"/>
      <c r="D1" s="53"/>
      <c r="E1" s="54"/>
    </row>
    <row r="3" spans="2:17" x14ac:dyDescent="0.45">
      <c r="B3" s="91" t="s">
        <v>83</v>
      </c>
      <c r="C3" s="92"/>
      <c r="D3" s="92"/>
      <c r="E3" s="92"/>
      <c r="F3" s="92"/>
      <c r="G3" s="93"/>
    </row>
    <row r="5" spans="2:17" x14ac:dyDescent="0.45">
      <c r="B5" s="110" t="s">
        <v>39</v>
      </c>
      <c r="C5" s="110"/>
      <c r="D5" s="110"/>
      <c r="E5" s="3"/>
      <c r="G5" s="95" t="s">
        <v>40</v>
      </c>
      <c r="H5" s="95"/>
      <c r="I5" s="95"/>
      <c r="J5" s="95"/>
      <c r="K5" s="95"/>
      <c r="L5" s="95"/>
      <c r="M5" s="95"/>
      <c r="N5" s="95"/>
      <c r="O5" s="95"/>
      <c r="P5" s="95"/>
      <c r="Q5" s="95"/>
    </row>
    <row r="6" spans="2:17" ht="14.45" customHeight="1" x14ac:dyDescent="0.45">
      <c r="B6" s="4" t="s">
        <v>41</v>
      </c>
      <c r="C6" s="4" t="s">
        <v>25</v>
      </c>
      <c r="D6" s="4" t="s">
        <v>39</v>
      </c>
      <c r="E6" s="6"/>
      <c r="F6" s="3"/>
      <c r="G6" s="66" t="s">
        <v>42</v>
      </c>
      <c r="H6" s="66" t="s">
        <v>43</v>
      </c>
      <c r="I6" s="66" t="s">
        <v>44</v>
      </c>
      <c r="J6" s="59" t="s">
        <v>45</v>
      </c>
      <c r="K6" s="111" t="s">
        <v>30</v>
      </c>
      <c r="L6" s="113"/>
      <c r="M6" s="113"/>
      <c r="N6" s="113"/>
      <c r="O6" s="113"/>
      <c r="P6" s="111" t="s">
        <v>31</v>
      </c>
      <c r="Q6" s="112"/>
    </row>
    <row r="7" spans="2:17" x14ac:dyDescent="0.45">
      <c r="B7" s="106">
        <v>1</v>
      </c>
      <c r="C7" s="107" t="s">
        <v>88</v>
      </c>
      <c r="D7" s="2" t="s">
        <v>89</v>
      </c>
      <c r="F7" s="3"/>
      <c r="G7" s="84"/>
      <c r="H7" s="84"/>
      <c r="I7" s="84"/>
      <c r="J7" s="98"/>
      <c r="K7" s="12" t="s">
        <v>75</v>
      </c>
      <c r="L7" s="12" t="s">
        <v>76</v>
      </c>
      <c r="M7" s="19" t="s">
        <v>77</v>
      </c>
      <c r="N7" s="19" t="s">
        <v>32</v>
      </c>
      <c r="O7" s="12" t="s">
        <v>78</v>
      </c>
      <c r="P7" s="56" t="s">
        <v>46</v>
      </c>
      <c r="Q7" s="58"/>
    </row>
    <row r="8" spans="2:17" x14ac:dyDescent="0.45">
      <c r="B8" s="102"/>
      <c r="C8" s="104"/>
      <c r="D8" s="2" t="s">
        <v>90</v>
      </c>
      <c r="F8" s="3"/>
      <c r="G8" s="12" t="s">
        <v>93</v>
      </c>
      <c r="H8" s="4">
        <v>1</v>
      </c>
      <c r="I8" s="35" t="s">
        <v>36</v>
      </c>
      <c r="J8" s="35" t="s">
        <v>94</v>
      </c>
      <c r="K8" s="35">
        <v>3</v>
      </c>
      <c r="L8" s="35" t="s">
        <v>79</v>
      </c>
      <c r="M8" s="35">
        <v>0.01</v>
      </c>
      <c r="N8" s="35" t="s">
        <v>80</v>
      </c>
      <c r="O8" s="35" t="s">
        <v>81</v>
      </c>
      <c r="P8" s="96" t="s">
        <v>34</v>
      </c>
      <c r="Q8" s="97"/>
    </row>
    <row r="9" spans="2:17" x14ac:dyDescent="0.45">
      <c r="B9" s="102"/>
      <c r="C9" s="104"/>
      <c r="D9" s="2" t="s">
        <v>91</v>
      </c>
      <c r="F9" s="3"/>
      <c r="G9" s="12" t="s">
        <v>95</v>
      </c>
      <c r="H9" s="4">
        <v>2</v>
      </c>
      <c r="I9" s="35" t="s">
        <v>36</v>
      </c>
      <c r="J9" s="35" t="s">
        <v>94</v>
      </c>
      <c r="K9" s="35">
        <v>4</v>
      </c>
      <c r="L9" s="35" t="s">
        <v>79</v>
      </c>
      <c r="M9" s="35">
        <v>0</v>
      </c>
      <c r="N9" s="35" t="s">
        <v>80</v>
      </c>
      <c r="O9" s="35" t="s">
        <v>81</v>
      </c>
      <c r="P9" s="96" t="s">
        <v>82</v>
      </c>
      <c r="Q9" s="97"/>
    </row>
    <row r="10" spans="2:17" x14ac:dyDescent="0.45">
      <c r="B10" s="102"/>
      <c r="C10" s="104"/>
      <c r="D10" s="2" t="s">
        <v>92</v>
      </c>
      <c r="F10" s="3"/>
      <c r="G10" s="12" t="s">
        <v>55</v>
      </c>
      <c r="H10" s="4">
        <v>3</v>
      </c>
      <c r="I10" s="35" t="s">
        <v>36</v>
      </c>
      <c r="J10" s="35" t="s">
        <v>94</v>
      </c>
      <c r="K10" s="35">
        <v>5</v>
      </c>
      <c r="L10" s="35" t="s">
        <v>79</v>
      </c>
      <c r="M10" s="35">
        <v>-0.01</v>
      </c>
      <c r="N10" s="35" t="s">
        <v>80</v>
      </c>
      <c r="O10" s="35" t="s">
        <v>81</v>
      </c>
      <c r="P10" s="96" t="s">
        <v>82</v>
      </c>
      <c r="Q10" s="97"/>
    </row>
    <row r="11" spans="2:17" x14ac:dyDescent="0.45">
      <c r="B11" s="102"/>
      <c r="C11" s="104"/>
      <c r="D11" s="2"/>
      <c r="F11" s="3"/>
      <c r="G11" s="12" t="s">
        <v>56</v>
      </c>
      <c r="H11" s="4">
        <v>4</v>
      </c>
      <c r="I11" s="35" t="s">
        <v>54</v>
      </c>
      <c r="J11" s="35" t="s">
        <v>94</v>
      </c>
      <c r="K11" s="35">
        <v>6</v>
      </c>
      <c r="L11" s="35" t="s">
        <v>79</v>
      </c>
      <c r="M11" s="35">
        <v>100</v>
      </c>
      <c r="N11" s="35" t="s">
        <v>80</v>
      </c>
      <c r="O11" s="35" t="s">
        <v>81</v>
      </c>
      <c r="P11" s="96" t="s">
        <v>34</v>
      </c>
      <c r="Q11" s="97"/>
    </row>
    <row r="12" spans="2:17" x14ac:dyDescent="0.45">
      <c r="B12" s="103"/>
      <c r="C12" s="105"/>
      <c r="D12" s="2"/>
      <c r="F12" s="3"/>
      <c r="G12" s="12">
        <v>5</v>
      </c>
      <c r="H12" s="9"/>
      <c r="I12" s="8"/>
      <c r="J12" s="8"/>
      <c r="K12" s="8"/>
      <c r="L12" s="8"/>
      <c r="M12" s="8"/>
      <c r="N12" s="8"/>
      <c r="O12" s="8"/>
      <c r="P12" s="114"/>
      <c r="Q12" s="115"/>
    </row>
    <row r="13" spans="2:17" x14ac:dyDescent="0.45">
      <c r="B13" s="102"/>
      <c r="C13" s="104"/>
      <c r="D13" s="2" t="s">
        <v>35</v>
      </c>
    </row>
    <row r="14" spans="2:17" x14ac:dyDescent="0.45">
      <c r="B14" s="102"/>
      <c r="C14" s="104"/>
      <c r="D14" s="2" t="s">
        <v>35</v>
      </c>
    </row>
    <row r="15" spans="2:17" x14ac:dyDescent="0.45">
      <c r="B15" s="102"/>
      <c r="C15" s="104"/>
      <c r="D15" s="2" t="s">
        <v>35</v>
      </c>
      <c r="G15" s="99"/>
      <c r="H15" s="99"/>
      <c r="I15" s="109"/>
      <c r="J15" s="109"/>
      <c r="K15" s="109"/>
      <c r="L15" s="109"/>
      <c r="M15" s="109"/>
      <c r="N15" s="26"/>
    </row>
    <row r="16" spans="2:17" x14ac:dyDescent="0.45">
      <c r="B16" s="102"/>
      <c r="C16" s="104"/>
      <c r="D16" s="2" t="s">
        <v>35</v>
      </c>
      <c r="I16" s="108"/>
      <c r="J16" s="108"/>
      <c r="K16" s="108"/>
      <c r="L16" s="108"/>
      <c r="M16" s="108"/>
      <c r="N16" s="27"/>
    </row>
    <row r="17" spans="2:4" x14ac:dyDescent="0.45">
      <c r="B17" s="103"/>
      <c r="C17" s="105"/>
      <c r="D17" s="2" t="s">
        <v>35</v>
      </c>
    </row>
  </sheetData>
  <mergeCells count="23">
    <mergeCell ref="P11:Q11"/>
    <mergeCell ref="P12:Q12"/>
    <mergeCell ref="H6:H7"/>
    <mergeCell ref="P8:Q8"/>
    <mergeCell ref="P9:Q9"/>
    <mergeCell ref="K6:O6"/>
    <mergeCell ref="P10:Q10"/>
    <mergeCell ref="B1:E1"/>
    <mergeCell ref="G6:G7"/>
    <mergeCell ref="I6:I7"/>
    <mergeCell ref="J6:J7"/>
    <mergeCell ref="B13:B17"/>
    <mergeCell ref="C13:C17"/>
    <mergeCell ref="B7:B12"/>
    <mergeCell ref="C7:C12"/>
    <mergeCell ref="I16:M16"/>
    <mergeCell ref="G5:Q5"/>
    <mergeCell ref="B3:G3"/>
    <mergeCell ref="P7:Q7"/>
    <mergeCell ref="G15:H15"/>
    <mergeCell ref="I15:M15"/>
    <mergeCell ref="B5:D5"/>
    <mergeCell ref="P6:Q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7" tint="-0.249977111117893"/>
  </sheetPr>
  <dimension ref="B1:P19"/>
  <sheetViews>
    <sheetView zoomScale="69" workbookViewId="0">
      <selection activeCell="N31" sqref="N31"/>
    </sheetView>
  </sheetViews>
  <sheetFormatPr defaultRowHeight="14.25" x14ac:dyDescent="0.45"/>
  <cols>
    <col min="6" max="6" width="12.1328125" bestFit="1" customWidth="1"/>
    <col min="7" max="7" width="17.59765625" bestFit="1" customWidth="1"/>
    <col min="8" max="8" width="10.59765625" customWidth="1"/>
    <col min="9" max="9" width="13.1328125" bestFit="1" customWidth="1"/>
    <col min="10" max="10" width="8.86328125" bestFit="1" customWidth="1"/>
    <col min="12" max="12" width="9.86328125" customWidth="1"/>
    <col min="13" max="13" width="30.265625" bestFit="1" customWidth="1"/>
    <col min="14" max="14" width="18.59765625" customWidth="1"/>
  </cols>
  <sheetData>
    <row r="1" spans="2:16" x14ac:dyDescent="0.45">
      <c r="B1" s="52" t="s">
        <v>0</v>
      </c>
      <c r="C1" s="53"/>
      <c r="D1" s="53"/>
      <c r="E1" s="54"/>
    </row>
    <row r="3" spans="2:16" x14ac:dyDescent="0.45">
      <c r="B3" s="63" t="s">
        <v>47</v>
      </c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</row>
    <row r="4" spans="2:16" x14ac:dyDescent="0.45">
      <c r="B4" s="66" t="s">
        <v>48</v>
      </c>
      <c r="C4" s="61" t="s">
        <v>49</v>
      </c>
      <c r="D4" s="45" t="s">
        <v>50</v>
      </c>
      <c r="E4" s="59" t="s">
        <v>51</v>
      </c>
      <c r="F4" s="56" t="s">
        <v>30</v>
      </c>
      <c r="G4" s="57"/>
      <c r="H4" s="57"/>
      <c r="I4" s="57"/>
      <c r="J4" s="57"/>
      <c r="K4" s="57"/>
      <c r="L4" s="58"/>
      <c r="M4" s="55" t="s">
        <v>31</v>
      </c>
      <c r="N4" s="55"/>
    </row>
    <row r="5" spans="2:16" ht="14.65" thickBot="1" x14ac:dyDescent="0.5">
      <c r="B5" s="67"/>
      <c r="C5" s="62"/>
      <c r="D5" s="68"/>
      <c r="E5" s="60"/>
      <c r="F5" s="14" t="s">
        <v>75</v>
      </c>
      <c r="G5" s="38" t="s">
        <v>76</v>
      </c>
      <c r="H5" s="14" t="s">
        <v>77</v>
      </c>
      <c r="I5" s="14" t="s">
        <v>32</v>
      </c>
      <c r="J5" s="43" t="s">
        <v>78</v>
      </c>
      <c r="K5" s="44"/>
      <c r="L5" s="45"/>
      <c r="M5" s="14" t="s">
        <v>33</v>
      </c>
      <c r="N5" s="14" t="s">
        <v>52</v>
      </c>
    </row>
    <row r="6" spans="2:16" ht="14.65" thickTop="1" x14ac:dyDescent="0.45">
      <c r="B6" s="13">
        <v>1</v>
      </c>
      <c r="C6" s="65" t="s">
        <v>53</v>
      </c>
      <c r="D6" s="17" t="s">
        <v>54</v>
      </c>
      <c r="E6" s="36" t="s">
        <v>36</v>
      </c>
      <c r="F6" s="40">
        <v>1</v>
      </c>
      <c r="G6" s="40" t="s">
        <v>79</v>
      </c>
      <c r="H6" s="40">
        <v>5</v>
      </c>
      <c r="I6" s="40" t="s">
        <v>80</v>
      </c>
      <c r="J6" s="46" t="s">
        <v>81</v>
      </c>
      <c r="K6" s="47"/>
      <c r="L6" s="48"/>
      <c r="M6" s="36" t="s">
        <v>34</v>
      </c>
      <c r="N6" s="36" t="s">
        <v>34</v>
      </c>
    </row>
    <row r="7" spans="2:16" x14ac:dyDescent="0.45">
      <c r="B7" s="7">
        <f>B6+1</f>
        <v>2</v>
      </c>
      <c r="C7" s="65"/>
      <c r="D7" s="18" t="s">
        <v>97</v>
      </c>
      <c r="E7" s="12" t="s">
        <v>36</v>
      </c>
      <c r="F7" s="41">
        <v>2</v>
      </c>
      <c r="G7" s="41" t="s">
        <v>37</v>
      </c>
      <c r="H7" s="41">
        <v>10</v>
      </c>
      <c r="I7" s="42" t="s">
        <v>80</v>
      </c>
      <c r="J7" s="46" t="s">
        <v>81</v>
      </c>
      <c r="K7" s="47"/>
      <c r="L7" s="48"/>
      <c r="M7" s="12" t="s">
        <v>82</v>
      </c>
      <c r="N7" s="12" t="s">
        <v>82</v>
      </c>
    </row>
    <row r="8" spans="2:16" x14ac:dyDescent="0.45">
      <c r="B8" s="7">
        <f t="shared" ref="B8:B11" si="0">B7+1</f>
        <v>3</v>
      </c>
      <c r="C8" s="65"/>
      <c r="D8" s="18" t="s">
        <v>98</v>
      </c>
      <c r="E8" s="12" t="s">
        <v>36</v>
      </c>
      <c r="F8" s="41">
        <v>2</v>
      </c>
      <c r="G8" s="41" t="s">
        <v>99</v>
      </c>
      <c r="H8" s="41">
        <v>10</v>
      </c>
      <c r="I8" s="42" t="s">
        <v>80</v>
      </c>
      <c r="J8" s="46" t="s">
        <v>81</v>
      </c>
      <c r="K8" s="47"/>
      <c r="L8" s="48"/>
      <c r="M8" s="12" t="s">
        <v>82</v>
      </c>
      <c r="N8" s="12" t="s">
        <v>82</v>
      </c>
    </row>
    <row r="9" spans="2:16" x14ac:dyDescent="0.45">
      <c r="B9" s="7">
        <f t="shared" si="0"/>
        <v>4</v>
      </c>
      <c r="C9" s="65"/>
      <c r="D9" s="18" t="s">
        <v>36</v>
      </c>
      <c r="E9" s="12" t="s">
        <v>93</v>
      </c>
      <c r="F9" s="12">
        <v>3</v>
      </c>
      <c r="G9" s="41" t="s">
        <v>79</v>
      </c>
      <c r="H9" s="12">
        <v>0.01</v>
      </c>
      <c r="I9" s="42" t="s">
        <v>80</v>
      </c>
      <c r="J9" s="46" t="s">
        <v>81</v>
      </c>
      <c r="K9" s="47"/>
      <c r="L9" s="48"/>
      <c r="M9" s="12" t="s">
        <v>34</v>
      </c>
      <c r="N9" s="12" t="s">
        <v>34</v>
      </c>
    </row>
    <row r="10" spans="2:16" x14ac:dyDescent="0.45">
      <c r="B10" s="7">
        <f t="shared" si="0"/>
        <v>5</v>
      </c>
      <c r="C10" s="65"/>
      <c r="D10" s="18" t="s">
        <v>36</v>
      </c>
      <c r="E10" s="12" t="s">
        <v>95</v>
      </c>
      <c r="F10" s="41">
        <v>4</v>
      </c>
      <c r="G10" s="41" t="s">
        <v>79</v>
      </c>
      <c r="H10" s="41">
        <v>0</v>
      </c>
      <c r="I10" s="42" t="s">
        <v>80</v>
      </c>
      <c r="J10" s="46" t="s">
        <v>81</v>
      </c>
      <c r="K10" s="47"/>
      <c r="L10" s="48"/>
      <c r="M10" s="12" t="s">
        <v>82</v>
      </c>
      <c r="N10" s="12" t="s">
        <v>82</v>
      </c>
    </row>
    <row r="11" spans="2:16" x14ac:dyDescent="0.45">
      <c r="B11" s="7">
        <f t="shared" si="0"/>
        <v>6</v>
      </c>
      <c r="C11" s="65"/>
      <c r="D11" s="18" t="s">
        <v>36</v>
      </c>
      <c r="E11" s="12" t="s">
        <v>55</v>
      </c>
      <c r="F11" s="41">
        <v>5</v>
      </c>
      <c r="G11" s="41" t="s">
        <v>79</v>
      </c>
      <c r="H11" s="41">
        <v>-0.01</v>
      </c>
      <c r="I11" s="42" t="s">
        <v>80</v>
      </c>
      <c r="J11" s="49" t="s">
        <v>81</v>
      </c>
      <c r="K11" s="50"/>
      <c r="L11" s="51"/>
      <c r="M11" s="12" t="s">
        <v>82</v>
      </c>
      <c r="N11" s="12" t="s">
        <v>82</v>
      </c>
    </row>
    <row r="12" spans="2:16" x14ac:dyDescent="0.45">
      <c r="B12" s="15"/>
      <c r="C12" s="15"/>
      <c r="D12" s="16"/>
      <c r="E12" s="15"/>
      <c r="F12" s="15"/>
      <c r="G12" s="39"/>
      <c r="H12" s="15"/>
      <c r="I12" s="15"/>
      <c r="J12" s="15"/>
      <c r="K12" s="15"/>
      <c r="L12" s="15"/>
      <c r="M12" s="15"/>
      <c r="N12" s="15"/>
    </row>
    <row r="13" spans="2:16" ht="14.45" customHeight="1" x14ac:dyDescent="0.45">
      <c r="B13" s="15" t="s">
        <v>57</v>
      </c>
      <c r="C13" s="15"/>
      <c r="D13" s="16"/>
      <c r="E13" s="15"/>
      <c r="F13" s="5"/>
      <c r="G13" s="5"/>
      <c r="H13" s="5"/>
      <c r="I13" s="5"/>
      <c r="J13" s="5"/>
      <c r="K13" s="64"/>
      <c r="L13" s="64"/>
      <c r="M13" s="5"/>
    </row>
    <row r="14" spans="2:16" ht="14.65" thickBot="1" x14ac:dyDescent="0.5">
      <c r="M14" s="5"/>
    </row>
    <row r="15" spans="2:16" ht="14.65" thickTop="1" x14ac:dyDescent="0.45">
      <c r="C15" s="75" t="s">
        <v>58</v>
      </c>
      <c r="D15" s="76"/>
      <c r="E15" s="76"/>
      <c r="F15" s="77"/>
      <c r="G15" s="22" t="s">
        <v>59</v>
      </c>
      <c r="H15" s="75" t="s">
        <v>60</v>
      </c>
      <c r="I15" s="78"/>
      <c r="J15" s="76"/>
      <c r="K15" s="76"/>
      <c r="L15" s="77"/>
      <c r="M15" s="75" t="s">
        <v>61</v>
      </c>
      <c r="N15" s="78"/>
      <c r="O15" s="76"/>
      <c r="P15" s="77"/>
    </row>
    <row r="16" spans="2:16" ht="14.45" customHeight="1" x14ac:dyDescent="0.45">
      <c r="B16" s="71" t="s">
        <v>49</v>
      </c>
      <c r="C16" s="72" t="s">
        <v>62</v>
      </c>
      <c r="D16" s="73" t="s">
        <v>63</v>
      </c>
      <c r="E16" s="73" t="s">
        <v>64</v>
      </c>
      <c r="F16" s="74" t="s">
        <v>65</v>
      </c>
      <c r="G16" s="83" t="s">
        <v>66</v>
      </c>
      <c r="H16" s="79" t="s">
        <v>67</v>
      </c>
      <c r="I16" s="80"/>
      <c r="J16" s="73" t="s">
        <v>62</v>
      </c>
      <c r="K16" s="66" t="s">
        <v>63</v>
      </c>
      <c r="L16" s="61" t="s">
        <v>64</v>
      </c>
      <c r="M16" s="86" t="s">
        <v>67</v>
      </c>
      <c r="N16" s="73" t="s">
        <v>62</v>
      </c>
      <c r="O16" s="73" t="s">
        <v>63</v>
      </c>
      <c r="P16" s="74" t="s">
        <v>64</v>
      </c>
    </row>
    <row r="17" spans="2:16" x14ac:dyDescent="0.45">
      <c r="B17" s="71"/>
      <c r="C17" s="72"/>
      <c r="D17" s="73"/>
      <c r="E17" s="73"/>
      <c r="F17" s="74"/>
      <c r="G17" s="83"/>
      <c r="H17" s="81"/>
      <c r="I17" s="82"/>
      <c r="J17" s="73"/>
      <c r="K17" s="84"/>
      <c r="L17" s="85"/>
      <c r="M17" s="87"/>
      <c r="N17" s="73"/>
      <c r="O17" s="73"/>
      <c r="P17" s="74"/>
    </row>
    <row r="18" spans="2:16" x14ac:dyDescent="0.45">
      <c r="B18" s="25" t="s">
        <v>53</v>
      </c>
      <c r="C18" s="21">
        <v>6</v>
      </c>
      <c r="D18" s="23">
        <v>3</v>
      </c>
      <c r="E18" s="23">
        <v>3</v>
      </c>
      <c r="F18" s="24">
        <v>1</v>
      </c>
      <c r="G18" s="29">
        <v>1</v>
      </c>
      <c r="H18" s="69">
        <v>3</v>
      </c>
      <c r="I18" s="70"/>
      <c r="J18" s="2">
        <v>3</v>
      </c>
      <c r="K18" s="23">
        <v>3</v>
      </c>
      <c r="L18" s="24">
        <v>0</v>
      </c>
      <c r="M18" s="28">
        <v>3</v>
      </c>
      <c r="N18" s="2">
        <v>3</v>
      </c>
      <c r="O18" s="23">
        <v>3</v>
      </c>
      <c r="P18" s="24">
        <v>0</v>
      </c>
    </row>
    <row r="19" spans="2:16" x14ac:dyDescent="0.45">
      <c r="M19" s="3"/>
    </row>
  </sheetData>
  <mergeCells count="35">
    <mergeCell ref="L16:L17"/>
    <mergeCell ref="O16:O17"/>
    <mergeCell ref="P16:P17"/>
    <mergeCell ref="M15:P15"/>
    <mergeCell ref="M16:M17"/>
    <mergeCell ref="N16:N17"/>
    <mergeCell ref="K13:L13"/>
    <mergeCell ref="C6:C11"/>
    <mergeCell ref="B4:B5"/>
    <mergeCell ref="D4:D5"/>
    <mergeCell ref="H18:I18"/>
    <mergeCell ref="B16:B17"/>
    <mergeCell ref="C16:C17"/>
    <mergeCell ref="D16:D17"/>
    <mergeCell ref="E16:E17"/>
    <mergeCell ref="F16:F17"/>
    <mergeCell ref="J16:J17"/>
    <mergeCell ref="C15:F15"/>
    <mergeCell ref="H15:L15"/>
    <mergeCell ref="H16:I17"/>
    <mergeCell ref="G16:G17"/>
    <mergeCell ref="K16:K17"/>
    <mergeCell ref="J10:L10"/>
    <mergeCell ref="J11:L11"/>
    <mergeCell ref="B1:E1"/>
    <mergeCell ref="M4:N4"/>
    <mergeCell ref="F4:L4"/>
    <mergeCell ref="E4:E5"/>
    <mergeCell ref="C4:C5"/>
    <mergeCell ref="B3:N3"/>
    <mergeCell ref="J5:L5"/>
    <mergeCell ref="J6:L6"/>
    <mergeCell ref="J7:L7"/>
    <mergeCell ref="J8:L8"/>
    <mergeCell ref="J9:L9"/>
  </mergeCells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9BB071F23F542A5DF0E9C9037AD04" ma:contentTypeVersion="3" ma:contentTypeDescription="Create a new document." ma:contentTypeScope="" ma:versionID="798a38e6de461387c626d04793181ea9">
  <xsd:schema xmlns:xsd="http://www.w3.org/2001/XMLSchema" xmlns:xs="http://www.w3.org/2001/XMLSchema" xmlns:p="http://schemas.microsoft.com/office/2006/metadata/properties" xmlns:ns2="301f98df-4edd-4096-94f8-2f8af3eee570" targetNamespace="http://schemas.microsoft.com/office/2006/metadata/properties" ma:root="true" ma:fieldsID="b4b8dab68acb31e3ac71f6347d499c29" ns2:_="">
    <xsd:import namespace="301f98df-4edd-4096-94f8-2f8af3eee57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1f98df-4edd-4096-94f8-2f8af3eee5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7FE877D-432C-44A9-9889-489A1D266CB2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83B9CA12-8961-4BEB-8D70-94D8CF82FF0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3E854E7-906F-4C7C-AFC0-1BC802AE88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1f98df-4edd-4096-94f8-2f8af3eee5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F01.ECP</vt:lpstr>
      <vt:lpstr>F01.BVA</vt:lpstr>
      <vt:lpstr>BBT-TCs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2026-04-14T11:39:16Z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